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x Cost Calculator" sheetId="1" state="visible" r:id="rId1"/>
    <sheet name="Shopping List for Supplier" sheetId="2" state="visible" r:id="rId2"/>
    <sheet name="Top 10 Quick Picks" sheetId="3" state="visible" r:id="rId3"/>
    <sheet name="How Fees Work" sheetId="4" state="visible" r:id="rId4"/>
  </sheets>
  <definedNames>
    <definedName name="_xlnm._FilterDatabase" localSheetId="0" hidden="1">'Max Cost Calculator'!$A$1:$O$37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2"/>
    </font>
    <font>
      <name val="Calibri"/>
      <b val="1"/>
      <color rgb="001F4E79"/>
      <sz val="16"/>
    </font>
    <font>
      <name val="Calibri"/>
      <i val="1"/>
      <sz val="11"/>
    </font>
    <font>
      <name val="Calibri"/>
      <b val="1"/>
      <sz val="11"/>
    </font>
    <font>
      <name val="Calibri"/>
      <b val="1"/>
      <color rgb="001F4E79"/>
      <sz val="14"/>
    </font>
    <font>
      <name val="Calibri"/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2" fillId="3" borderId="1" applyAlignment="1" pivotButton="0" quotePrefix="0" xfId="0">
      <alignment vertical="top" wrapText="1"/>
    </xf>
    <xf numFmtId="4" fontId="2" fillId="4" borderId="1" applyAlignment="1" pivotButton="0" quotePrefix="0" xfId="0">
      <alignment vertical="top" wrapText="1"/>
    </xf>
    <xf numFmtId="4" fontId="2" fillId="5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8" customWidth="1" min="3" max="3"/>
    <col width="12" customWidth="1" min="4" max="4"/>
    <col width="10" customWidth="1" min="5" max="5"/>
    <col width="10" customWidth="1" min="6" max="6"/>
    <col width="10" customWidth="1" min="7" max="7"/>
    <col width="9" customWidth="1" min="8" max="8"/>
    <col width="13" customWidth="1" min="9" max="9"/>
    <col width="13" customWidth="1" min="10" max="10"/>
    <col width="13" customWidth="1" min="11" max="11"/>
    <col width="11" customWidth="1" min="12" max="12"/>
    <col width="16" customWidth="1" min="13" max="13"/>
    <col width="12" customWidth="1" min="14" max="14"/>
    <col width="55" customWidth="1" min="15" max="15"/>
  </cols>
  <sheetData>
    <row r="1" ht="50" customHeight="1">
      <c r="A1" s="1" t="inlineStr">
        <is>
          <t>CATEGORY</t>
        </is>
      </c>
      <c r="B1" s="1" t="inlineStr">
        <is>
          <t>PRODUCT</t>
        </is>
      </c>
      <c r="C1" s="1" t="inlineStr">
        <is>
          <t>BRAND</t>
        </is>
      </c>
      <c r="D1" s="1" t="inlineStr">
        <is>
          <t>Amazon
Sell Price</t>
        </is>
      </c>
      <c r="E1" s="1" t="inlineStr">
        <is>
          <t>Referral
Fee %</t>
        </is>
      </c>
      <c r="F1" s="1" t="inlineStr">
        <is>
          <t>Referral
Fee $</t>
        </is>
      </c>
      <c r="G1" s="1" t="inlineStr">
        <is>
          <t>FBA Fee
(est.)</t>
        </is>
      </c>
      <c r="H1" s="1" t="inlineStr">
        <is>
          <t>Weight
(lbs)</t>
        </is>
      </c>
      <c r="I1" s="1" t="inlineStr">
        <is>
          <t>MAX COST
for 10%
Profit</t>
        </is>
      </c>
      <c r="J1" s="1" t="inlineStr">
        <is>
          <t>MAX COST
for 15%
Profit</t>
        </is>
      </c>
      <c r="K1" s="1" t="inlineStr">
        <is>
          <t>MAX COST
for 20%
Profit</t>
        </is>
      </c>
      <c r="L1" s="1" t="inlineStr">
        <is>
          <t>Min $
Profit
(10%)</t>
        </is>
      </c>
      <c r="M1" s="1" t="inlineStr">
        <is>
          <t>Est Monthly
Units Sold</t>
        </is>
      </c>
      <c r="N1" s="1" t="inlineStr">
        <is>
          <t>Reviews</t>
        </is>
      </c>
      <c r="O1" s="1" t="inlineStr">
        <is>
          <t>Notes</t>
        </is>
      </c>
    </row>
    <row r="2" ht="50" customHeight="1">
      <c r="A2" s="2" t="inlineStr">
        <is>
          <t>K-Cups</t>
        </is>
      </c>
      <c r="B2" s="2" t="inlineStr">
        <is>
          <t>Starbucks Pike Place K-Cup Pods 96ct</t>
        </is>
      </c>
      <c r="C2" s="2" t="inlineStr">
        <is>
          <t>Starbucks/Nestle</t>
        </is>
      </c>
      <c r="D2" s="3" t="n">
        <v>60</v>
      </c>
      <c r="E2" s="4" t="n">
        <v>0.15</v>
      </c>
      <c r="F2" s="3" t="n">
        <v>9</v>
      </c>
      <c r="G2" s="3" t="n">
        <v>6</v>
      </c>
      <c r="H2" s="2" t="n">
        <v>2.8</v>
      </c>
      <c r="I2" s="5" t="n">
        <v>39</v>
      </c>
      <c r="J2" s="3" t="n">
        <v>36</v>
      </c>
      <c r="K2" s="3" t="n">
        <v>33</v>
      </c>
      <c r="L2" s="3" t="n">
        <v>6</v>
      </c>
      <c r="M2" s="2" t="inlineStr">
        <is>
          <t>20,000-30,000+</t>
        </is>
      </c>
      <c r="N2" s="2" t="inlineStr">
        <is>
          <t>45,000+</t>
        </is>
      </c>
      <c r="O2" s="2" t="inlineStr">
        <is>
          <t>#1 K-Cup on Amazon. Office + household demand. Subscribe &amp; Save staple.</t>
        </is>
      </c>
    </row>
    <row r="3" ht="50" customHeight="1">
      <c r="A3" s="2" t="inlineStr">
        <is>
          <t>K-Cups</t>
        </is>
      </c>
      <c r="B3" s="2" t="inlineStr">
        <is>
          <t>Starbucks French Roast K-Cups 72ct</t>
        </is>
      </c>
      <c r="C3" s="2" t="inlineStr">
        <is>
          <t>Starbucks/Nestle</t>
        </is>
      </c>
      <c r="D3" s="3" t="n">
        <v>52</v>
      </c>
      <c r="E3" s="4" t="n">
        <v>0.15</v>
      </c>
      <c r="F3" s="3" t="n">
        <v>7.8</v>
      </c>
      <c r="G3" s="3" t="n">
        <v>5.5</v>
      </c>
      <c r="H3" s="2" t="n">
        <v>2.2</v>
      </c>
      <c r="I3" s="5" t="n">
        <v>33.5</v>
      </c>
      <c r="J3" s="3" t="n">
        <v>30.9</v>
      </c>
      <c r="K3" s="3" t="n">
        <v>28.3</v>
      </c>
      <c r="L3" s="3" t="n">
        <v>5.2</v>
      </c>
      <c r="M3" s="2" t="inlineStr">
        <is>
          <t>10,000-15,000+</t>
        </is>
      </c>
      <c r="N3" s="2" t="inlineStr">
        <is>
          <t>20,000+</t>
        </is>
      </c>
      <c r="O3" s="2" t="inlineStr">
        <is>
          <t>Dark roast = 2nd most popular Starbucks. Strong brand loyalty.</t>
        </is>
      </c>
    </row>
    <row r="4" ht="50" customHeight="1">
      <c r="A4" s="2" t="inlineStr">
        <is>
          <t>K-Cups</t>
        </is>
      </c>
      <c r="B4" s="2" t="inlineStr">
        <is>
          <t>Green Mountain Breakfast Blend K-Cups 96ct</t>
        </is>
      </c>
      <c r="C4" s="2" t="inlineStr">
        <is>
          <t>Keurig Dr Pepper</t>
        </is>
      </c>
      <c r="D4" s="3" t="n">
        <v>50</v>
      </c>
      <c r="E4" s="4" t="n">
        <v>0.15</v>
      </c>
      <c r="F4" s="3" t="n">
        <v>7.5</v>
      </c>
      <c r="G4" s="3" t="n">
        <v>6</v>
      </c>
      <c r="H4" s="2" t="n">
        <v>2.8</v>
      </c>
      <c r="I4" s="5" t="n">
        <v>31.5</v>
      </c>
      <c r="J4" s="3" t="n">
        <v>29</v>
      </c>
      <c r="K4" s="3" t="n">
        <v>26.5</v>
      </c>
      <c r="L4" s="3" t="n">
        <v>5</v>
      </c>
      <c r="M4" s="2" t="inlineStr">
        <is>
          <t>15,000-25,000+</t>
        </is>
      </c>
      <c r="N4" s="2" t="inlineStr">
        <is>
          <t>30,000+</t>
        </is>
      </c>
      <c r="O4" s="2" t="inlineStr">
        <is>
          <t>Top 3 K-Cup brand. Light roast = biggest coffee segment.</t>
        </is>
      </c>
    </row>
    <row r="5" ht="50" customHeight="1">
      <c r="A5" s="2" t="inlineStr">
        <is>
          <t>K-Cups</t>
        </is>
      </c>
      <c r="B5" s="2" t="inlineStr">
        <is>
          <t>The Original Donut Shop Medium Roast K-Cups 96ct</t>
        </is>
      </c>
      <c r="C5" s="2" t="inlineStr">
        <is>
          <t>Keurig</t>
        </is>
      </c>
      <c r="D5" s="3" t="n">
        <v>50</v>
      </c>
      <c r="E5" s="4" t="n">
        <v>0.15</v>
      </c>
      <c r="F5" s="3" t="n">
        <v>7.5</v>
      </c>
      <c r="G5" s="3" t="n">
        <v>6</v>
      </c>
      <c r="H5" s="2" t="n">
        <v>2.8</v>
      </c>
      <c r="I5" s="5" t="n">
        <v>31.5</v>
      </c>
      <c r="J5" s="3" t="n">
        <v>29</v>
      </c>
      <c r="K5" s="3" t="n">
        <v>26.5</v>
      </c>
      <c r="L5" s="3" t="n">
        <v>5</v>
      </c>
      <c r="M5" s="2" t="inlineStr">
        <is>
          <t>10,000-20,000+</t>
        </is>
      </c>
      <c r="N5" s="2" t="inlineStr">
        <is>
          <t>25,000+</t>
        </is>
      </c>
      <c r="O5" s="2" t="inlineStr">
        <is>
          <t>Top 5 K-Cup. Medium roast = America's #1 coffee strength.</t>
        </is>
      </c>
    </row>
    <row r="6" ht="50" customHeight="1">
      <c r="A6" s="2" t="inlineStr">
        <is>
          <t>K-Cups</t>
        </is>
      </c>
      <c r="B6" s="2" t="inlineStr">
        <is>
          <t>McCafe Premium Roast K-Cups 84ct</t>
        </is>
      </c>
      <c r="C6" s="2" t="inlineStr">
        <is>
          <t>McDonald's/Keurig</t>
        </is>
      </c>
      <c r="D6" s="3" t="n">
        <v>42</v>
      </c>
      <c r="E6" s="4" t="n">
        <v>0.15</v>
      </c>
      <c r="F6" s="3" t="n">
        <v>6.3</v>
      </c>
      <c r="G6" s="3" t="n">
        <v>5.5</v>
      </c>
      <c r="H6" s="2" t="n">
        <v>2.4</v>
      </c>
      <c r="I6" s="6" t="n">
        <v>26</v>
      </c>
      <c r="J6" s="3" t="n">
        <v>23.9</v>
      </c>
      <c r="K6" s="3" t="n">
        <v>21.8</v>
      </c>
      <c r="L6" s="3" t="n">
        <v>4.2</v>
      </c>
      <c r="M6" s="2" t="inlineStr">
        <is>
          <t>10,000-15,000+</t>
        </is>
      </c>
      <c r="N6" s="2" t="inlineStr">
        <is>
          <t>20,000+</t>
        </is>
      </c>
      <c r="O6" s="2" t="inlineStr">
        <is>
          <t>McDonald's brand at home. Growing fast. Value vs Starbucks.</t>
        </is>
      </c>
    </row>
    <row r="7" ht="50" customHeight="1">
      <c r="A7" s="2" t="inlineStr">
        <is>
          <t>K-Cups</t>
        </is>
      </c>
      <c r="B7" s="2" t="inlineStr">
        <is>
          <t>Folgers Classic Roast K-Cups 72ct</t>
        </is>
      </c>
      <c r="C7" s="2" t="inlineStr">
        <is>
          <t>Smucker's</t>
        </is>
      </c>
      <c r="D7" s="3" t="n">
        <v>38</v>
      </c>
      <c r="E7" s="4" t="n">
        <v>0.15</v>
      </c>
      <c r="F7" s="3" t="n">
        <v>5.7</v>
      </c>
      <c r="G7" s="3" t="n">
        <v>5.5</v>
      </c>
      <c r="H7" s="2" t="n">
        <v>2.2</v>
      </c>
      <c r="I7" s="6" t="n">
        <v>23</v>
      </c>
      <c r="J7" s="3" t="n">
        <v>21.1</v>
      </c>
      <c r="K7" s="3" t="n">
        <v>19.2</v>
      </c>
      <c r="L7" s="3" t="n">
        <v>3.8</v>
      </c>
      <c r="M7" s="2" t="inlineStr">
        <is>
          <t>10,000-15,000+</t>
        </is>
      </c>
      <c r="N7" s="2" t="inlineStr">
        <is>
          <t>15,000+</t>
        </is>
      </c>
      <c r="O7" s="2" t="inlineStr">
        <is>
          <t>America's #1 ground coffee brand. Older demo loves K-Cup convenience.</t>
        </is>
      </c>
    </row>
    <row r="8" ht="50" customHeight="1">
      <c r="A8" s="2" t="inlineStr">
        <is>
          <t>K-Cups</t>
        </is>
      </c>
      <c r="B8" s="2" t="inlineStr">
        <is>
          <t>Dunkin' Original Blend K-Cups 72ct</t>
        </is>
      </c>
      <c r="C8" s="2" t="inlineStr">
        <is>
          <t>Dunkin'/Keurig</t>
        </is>
      </c>
      <c r="D8" s="3" t="n">
        <v>44</v>
      </c>
      <c r="E8" s="4" t="n">
        <v>0.15</v>
      </c>
      <c r="F8" s="3" t="n">
        <v>6.6</v>
      </c>
      <c r="G8" s="3" t="n">
        <v>5.5</v>
      </c>
      <c r="H8" s="2" t="n">
        <v>2.2</v>
      </c>
      <c r="I8" s="6" t="n">
        <v>27.5</v>
      </c>
      <c r="J8" s="3" t="n">
        <v>25.3</v>
      </c>
      <c r="K8" s="3" t="n">
        <v>23.1</v>
      </c>
      <c r="L8" s="3" t="n">
        <v>4.4</v>
      </c>
      <c r="M8" s="2" t="inlineStr">
        <is>
          <t>10,000-15,000+</t>
        </is>
      </c>
      <c r="N8" s="2" t="inlineStr">
        <is>
          <t>18,000+</t>
        </is>
      </c>
      <c r="O8" s="2" t="inlineStr">
        <is>
          <t>East Coast loyalty. 2nd biggest coffee chain brand after Starbucks.</t>
        </is>
      </c>
    </row>
    <row r="9" ht="50" customHeight="1">
      <c r="A9" s="2" t="inlineStr">
        <is>
          <t>K-Cups</t>
        </is>
      </c>
      <c r="B9" s="2" t="inlineStr">
        <is>
          <t>Newman's Own Organic Special Blend K-Cups 100ct</t>
        </is>
      </c>
      <c r="C9" s="2" t="inlineStr">
        <is>
          <t>Newman's Own/Keurig</t>
        </is>
      </c>
      <c r="D9" s="3" t="n">
        <v>55</v>
      </c>
      <c r="E9" s="4" t="n">
        <v>0.15</v>
      </c>
      <c r="F9" s="3" t="n">
        <v>8.25</v>
      </c>
      <c r="G9" s="3" t="n">
        <v>6</v>
      </c>
      <c r="H9" s="2" t="n">
        <v>3</v>
      </c>
      <c r="I9" s="5" t="n">
        <v>35.25</v>
      </c>
      <c r="J9" s="3" t="n">
        <v>32.5</v>
      </c>
      <c r="K9" s="3" t="n">
        <v>29.75</v>
      </c>
      <c r="L9" s="3" t="n">
        <v>5.5</v>
      </c>
      <c r="M9" s="2" t="inlineStr">
        <is>
          <t>5,000-10,000+</t>
        </is>
      </c>
      <c r="N9" s="2" t="inlineStr">
        <is>
          <t>12,000+</t>
        </is>
      </c>
      <c r="O9" s="2" t="inlineStr">
        <is>
          <t>Organic premium. Fair trade. Higher price tolerance from buyers.</t>
        </is>
      </c>
    </row>
    <row r="10" ht="50" customHeight="1">
      <c r="A10" s="2" t="inlineStr">
        <is>
          <t>Diapers</t>
        </is>
      </c>
      <c r="B10" s="2" t="inlineStr">
        <is>
          <t>Pampers Swaddlers Size 4, 150ct Box</t>
        </is>
      </c>
      <c r="C10" s="2" t="inlineStr">
        <is>
          <t>Pampers/P&amp;G</t>
        </is>
      </c>
      <c r="D10" s="3" t="n">
        <v>57</v>
      </c>
      <c r="E10" s="4" t="n">
        <v>0.15</v>
      </c>
      <c r="F10" s="3" t="n">
        <v>8.549999999999999</v>
      </c>
      <c r="G10" s="3" t="n">
        <v>10</v>
      </c>
      <c r="H10" s="2" t="n">
        <v>10</v>
      </c>
      <c r="I10" s="5" t="n">
        <v>32.75</v>
      </c>
      <c r="J10" s="3" t="n">
        <v>29.90000000000001</v>
      </c>
      <c r="K10" s="3" t="n">
        <v>27.05</v>
      </c>
      <c r="L10" s="3" t="n">
        <v>5.7</v>
      </c>
      <c r="M10" s="2" t="inlineStr">
        <is>
          <t>20,000-30,000+</t>
        </is>
      </c>
      <c r="N10" s="2" t="inlineStr">
        <is>
          <t>90,000+</t>
        </is>
      </c>
      <c r="O10" s="2" t="inlineStr">
        <is>
          <t>#1 diaper. Parents auto-reorder. P&amp;G overruns = closeout supply.</t>
        </is>
      </c>
    </row>
    <row r="11" ht="50" customHeight="1">
      <c r="A11" s="2" t="inlineStr">
        <is>
          <t>Diapers</t>
        </is>
      </c>
      <c r="B11" s="2" t="inlineStr">
        <is>
          <t>Pampers Swaddlers Size 5, 132ct Box</t>
        </is>
      </c>
      <c r="C11" s="2" t="inlineStr">
        <is>
          <t>Pampers/P&amp;G</t>
        </is>
      </c>
      <c r="D11" s="3" t="n">
        <v>55</v>
      </c>
      <c r="E11" s="4" t="n">
        <v>0.15</v>
      </c>
      <c r="F11" s="3" t="n">
        <v>8.25</v>
      </c>
      <c r="G11" s="3" t="n">
        <v>10</v>
      </c>
      <c r="H11" s="2" t="n">
        <v>9.5</v>
      </c>
      <c r="I11" s="5" t="n">
        <v>31.25</v>
      </c>
      <c r="J11" s="3" t="n">
        <v>28.5</v>
      </c>
      <c r="K11" s="3" t="n">
        <v>25.75</v>
      </c>
      <c r="L11" s="3" t="n">
        <v>5.5</v>
      </c>
      <c r="M11" s="2" t="inlineStr">
        <is>
          <t>15,000-25,000+</t>
        </is>
      </c>
      <c r="N11" s="2" t="inlineStr">
        <is>
          <t>90,000+</t>
        </is>
      </c>
      <c r="O11" s="2" t="inlineStr">
        <is>
          <t>Size 5 = slightly less volume than Size 4 but still huge seller.</t>
        </is>
      </c>
    </row>
    <row r="12" ht="50" customHeight="1">
      <c r="A12" s="2" t="inlineStr">
        <is>
          <t>Diapers</t>
        </is>
      </c>
      <c r="B12" s="2" t="inlineStr">
        <is>
          <t>Pampers Swaddlers Size 3, 168ct Box</t>
        </is>
      </c>
      <c r="C12" s="2" t="inlineStr">
        <is>
          <t>Pampers/P&amp;G</t>
        </is>
      </c>
      <c r="D12" s="3" t="n">
        <v>55</v>
      </c>
      <c r="E12" s="4" t="n">
        <v>0.15</v>
      </c>
      <c r="F12" s="3" t="n">
        <v>8.25</v>
      </c>
      <c r="G12" s="3" t="n">
        <v>10</v>
      </c>
      <c r="H12" s="2" t="n">
        <v>9.5</v>
      </c>
      <c r="I12" s="5" t="n">
        <v>31.25</v>
      </c>
      <c r="J12" s="3" t="n">
        <v>28.5</v>
      </c>
      <c r="K12" s="3" t="n">
        <v>25.75</v>
      </c>
      <c r="L12" s="3" t="n">
        <v>5.5</v>
      </c>
      <c r="M12" s="2" t="inlineStr">
        <is>
          <t>15,000-25,000+</t>
        </is>
      </c>
      <c r="N12" s="2" t="inlineStr">
        <is>
          <t>90,000+</t>
        </is>
      </c>
      <c r="O12" s="2" t="inlineStr">
        <is>
          <t>Size 3 = mid-range size, very popular. Babies in this size 3-6 months.</t>
        </is>
      </c>
    </row>
    <row r="13" ht="50" customHeight="1">
      <c r="A13" s="2" t="inlineStr">
        <is>
          <t>Diapers</t>
        </is>
      </c>
      <c r="B13" s="2" t="inlineStr">
        <is>
          <t>Huggies Little Movers Size 4, 140ct Box</t>
        </is>
      </c>
      <c r="C13" s="2" t="inlineStr">
        <is>
          <t>Huggies/K-C</t>
        </is>
      </c>
      <c r="D13" s="3" t="n">
        <v>52</v>
      </c>
      <c r="E13" s="4" t="n">
        <v>0.15</v>
      </c>
      <c r="F13" s="3" t="n">
        <v>7.8</v>
      </c>
      <c r="G13" s="3" t="n">
        <v>9.5</v>
      </c>
      <c r="H13" s="2" t="n">
        <v>9</v>
      </c>
      <c r="I13" s="6" t="n">
        <v>29.5</v>
      </c>
      <c r="J13" s="3" t="n">
        <v>26.9</v>
      </c>
      <c r="K13" s="3" t="n">
        <v>24.3</v>
      </c>
      <c r="L13" s="3" t="n">
        <v>5.2</v>
      </c>
      <c r="M13" s="2" t="inlineStr">
        <is>
          <t>15,000-20,000+</t>
        </is>
      </c>
      <c r="N13" s="2" t="inlineStr">
        <is>
          <t>75,000+</t>
        </is>
      </c>
      <c r="O13" s="2" t="inlineStr">
        <is>
          <t>#2 diaper brand. Parents who don't use Pampers use Huggies.</t>
        </is>
      </c>
    </row>
    <row r="14" ht="50" customHeight="1">
      <c r="A14" s="2" t="inlineStr">
        <is>
          <t>Diapers</t>
        </is>
      </c>
      <c r="B14" s="2" t="inlineStr">
        <is>
          <t>Huggies Little Snugglers Size 2, 180ct Box</t>
        </is>
      </c>
      <c r="C14" s="2" t="inlineStr">
        <is>
          <t>Huggies/K-C</t>
        </is>
      </c>
      <c r="D14" s="3" t="n">
        <v>55</v>
      </c>
      <c r="E14" s="4" t="n">
        <v>0.15</v>
      </c>
      <c r="F14" s="3" t="n">
        <v>8.25</v>
      </c>
      <c r="G14" s="3" t="n">
        <v>10</v>
      </c>
      <c r="H14" s="2" t="n">
        <v>10</v>
      </c>
      <c r="I14" s="5" t="n">
        <v>31.25</v>
      </c>
      <c r="J14" s="3" t="n">
        <v>28.5</v>
      </c>
      <c r="K14" s="3" t="n">
        <v>25.75</v>
      </c>
      <c r="L14" s="3" t="n">
        <v>5.5</v>
      </c>
      <c r="M14" s="2" t="inlineStr">
        <is>
          <t>10,000-20,000+</t>
        </is>
      </c>
      <c r="N14" s="2" t="inlineStr">
        <is>
          <t>50,000+</t>
        </is>
      </c>
      <c r="O14" s="2" t="inlineStr">
        <is>
          <t>Newborn/infant sizes sell fastest — babies outgrow quickly = constant reorder.</t>
        </is>
      </c>
    </row>
    <row r="15" ht="50" customHeight="1">
      <c r="A15" s="2" t="inlineStr">
        <is>
          <t>Diapers</t>
        </is>
      </c>
      <c r="B15" s="2" t="inlineStr">
        <is>
          <t>Pampers Cruisers 360 Size 5, 112ct</t>
        </is>
      </c>
      <c r="C15" s="2" t="inlineStr">
        <is>
          <t>Pampers/P&amp;G</t>
        </is>
      </c>
      <c r="D15" s="3" t="n">
        <v>52</v>
      </c>
      <c r="E15" s="4" t="n">
        <v>0.15</v>
      </c>
      <c r="F15" s="3" t="n">
        <v>7.8</v>
      </c>
      <c r="G15" s="3" t="n">
        <v>9.5</v>
      </c>
      <c r="H15" s="2" t="n">
        <v>8.5</v>
      </c>
      <c r="I15" s="6" t="n">
        <v>29.5</v>
      </c>
      <c r="J15" s="3" t="n">
        <v>26.9</v>
      </c>
      <c r="K15" s="3" t="n">
        <v>24.3</v>
      </c>
      <c r="L15" s="3" t="n">
        <v>5.2</v>
      </c>
      <c r="M15" s="2" t="inlineStr">
        <is>
          <t>10,000-15,000+</t>
        </is>
      </c>
      <c r="N15" s="2" t="inlineStr">
        <is>
          <t>40,000+</t>
        </is>
      </c>
      <c r="O15" s="2" t="inlineStr">
        <is>
          <t>Premium 360-fit diaper. Higher price point parents will pay for.</t>
        </is>
      </c>
    </row>
    <row r="16" ht="50" customHeight="1">
      <c r="A16" s="2" t="inlineStr">
        <is>
          <t>Paper</t>
        </is>
      </c>
      <c r="B16" s="2" t="inlineStr">
        <is>
          <t>Bounty Quick-Size Paper Towels 16 Family Rolls</t>
        </is>
      </c>
      <c r="C16" s="2" t="inlineStr">
        <is>
          <t>Bounty/P&amp;G</t>
        </is>
      </c>
      <c r="D16" s="3" t="n">
        <v>52</v>
      </c>
      <c r="E16" s="4" t="n">
        <v>0.15</v>
      </c>
      <c r="F16" s="3" t="n">
        <v>7.8</v>
      </c>
      <c r="G16" s="3" t="n">
        <v>13</v>
      </c>
      <c r="H16" s="2" t="n">
        <v>15</v>
      </c>
      <c r="I16" s="6" t="n">
        <v>26</v>
      </c>
      <c r="J16" s="3" t="n">
        <v>23.4</v>
      </c>
      <c r="K16" s="3" t="n">
        <v>20.8</v>
      </c>
      <c r="L16" s="3" t="n">
        <v>5.2</v>
      </c>
      <c r="M16" s="2" t="inlineStr">
        <is>
          <t>100,000+</t>
        </is>
      </c>
      <c r="N16" s="2" t="inlineStr">
        <is>
          <t>120,000+</t>
        </is>
      </c>
      <c r="O16" s="2" t="inlineStr">
        <is>
          <t>100K+ bought/mo. One of top 5 volume items on ALL of Amazon.</t>
        </is>
      </c>
    </row>
    <row r="17" ht="50" customHeight="1">
      <c r="A17" s="2" t="inlineStr">
        <is>
          <t>Paper</t>
        </is>
      </c>
      <c r="B17" s="2" t="inlineStr">
        <is>
          <t>Charmin Ultra Soft 24 Mega Rolls</t>
        </is>
      </c>
      <c r="C17" s="2" t="inlineStr">
        <is>
          <t>Charmin/P&amp;G</t>
        </is>
      </c>
      <c r="D17" s="3" t="n">
        <v>53</v>
      </c>
      <c r="E17" s="4" t="n">
        <v>0.15</v>
      </c>
      <c r="F17" s="3" t="n">
        <v>7.949999999999999</v>
      </c>
      <c r="G17" s="3" t="n">
        <v>13</v>
      </c>
      <c r="H17" s="2" t="n">
        <v>16</v>
      </c>
      <c r="I17" s="6" t="n">
        <v>26.75</v>
      </c>
      <c r="J17" s="3" t="n">
        <v>24.1</v>
      </c>
      <c r="K17" s="3" t="n">
        <v>21.45</v>
      </c>
      <c r="L17" s="3" t="n">
        <v>5.300000000000001</v>
      </c>
      <c r="M17" s="2" t="inlineStr">
        <is>
          <t>70,000-90,000+</t>
        </is>
      </c>
      <c r="N17" s="2" t="inlineStr">
        <is>
          <t>100,000+</t>
        </is>
      </c>
      <c r="O17" s="2" t="inlineStr">
        <is>
          <t>70K+ bought/mo. Essential auto-reorder item.</t>
        </is>
      </c>
    </row>
    <row r="18" ht="50" customHeight="1">
      <c r="A18" s="2" t="inlineStr">
        <is>
          <t>Paper</t>
        </is>
      </c>
      <c r="B18" s="2" t="inlineStr">
        <is>
          <t>Cottonelle Ultra CleanCare 24 Mega Rolls</t>
        </is>
      </c>
      <c r="C18" s="2" t="inlineStr">
        <is>
          <t>Cottonelle/K-C</t>
        </is>
      </c>
      <c r="D18" s="3" t="n">
        <v>50</v>
      </c>
      <c r="E18" s="4" t="n">
        <v>0.15</v>
      </c>
      <c r="F18" s="3" t="n">
        <v>7.5</v>
      </c>
      <c r="G18" s="3" t="n">
        <v>12.5</v>
      </c>
      <c r="H18" s="2" t="n">
        <v>14</v>
      </c>
      <c r="I18" s="6" t="n">
        <v>25</v>
      </c>
      <c r="J18" s="3" t="n">
        <v>22.5</v>
      </c>
      <c r="K18" s="3" t="n">
        <v>20</v>
      </c>
      <c r="L18" s="3" t="n">
        <v>5</v>
      </c>
      <c r="M18" s="2" t="inlineStr">
        <is>
          <t>20,000-30,000+</t>
        </is>
      </c>
      <c r="N18" s="2" t="inlineStr">
        <is>
          <t>40,000+</t>
        </is>
      </c>
      <c r="O18" s="2" t="inlineStr">
        <is>
          <t>#3 toilet paper brand. Consistent seller. Less competition than Charmin.</t>
        </is>
      </c>
    </row>
    <row r="19" ht="50" customHeight="1">
      <c r="A19" s="2" t="inlineStr">
        <is>
          <t>Personal Care</t>
        </is>
      </c>
      <c r="B19" s="2" t="inlineStr">
        <is>
          <t>Dove Deep Moisture Body Wash 30.6oz Pump 6-Pack</t>
        </is>
      </c>
      <c r="C19" s="2" t="inlineStr">
        <is>
          <t>Dove/Unilever</t>
        </is>
      </c>
      <c r="D19" s="3" t="n">
        <v>55</v>
      </c>
      <c r="E19" s="4" t="n">
        <v>0.15</v>
      </c>
      <c r="F19" s="3" t="n">
        <v>8.25</v>
      </c>
      <c r="G19" s="3" t="n">
        <v>10.5</v>
      </c>
      <c r="H19" s="2" t="n">
        <v>12.5</v>
      </c>
      <c r="I19" s="5" t="n">
        <v>30.75</v>
      </c>
      <c r="J19" s="3" t="n">
        <v>28</v>
      </c>
      <c r="K19" s="3" t="n">
        <v>25.25</v>
      </c>
      <c r="L19" s="3" t="n">
        <v>5.5</v>
      </c>
      <c r="M19" s="2" t="inlineStr">
        <is>
          <t>15,000-20,000+</t>
        </is>
      </c>
      <c r="N19" s="2" t="inlineStr">
        <is>
          <t>60,000+</t>
        </is>
      </c>
      <c r="O19" s="2" t="inlineStr">
        <is>
          <t>#1 body wash on Amazon. 6-pack multipack = high ticket.</t>
        </is>
      </c>
    </row>
    <row r="20" ht="50" customHeight="1">
      <c r="A20" s="2" t="inlineStr">
        <is>
          <t>Personal Care</t>
        </is>
      </c>
      <c r="B20" s="2" t="inlineStr">
        <is>
          <t>Dove Beauty Bar 24-Pack</t>
        </is>
      </c>
      <c r="C20" s="2" t="inlineStr">
        <is>
          <t>Dove/Unilever</t>
        </is>
      </c>
      <c r="D20" s="3" t="n">
        <v>38</v>
      </c>
      <c r="E20" s="4" t="n">
        <v>0.15</v>
      </c>
      <c r="F20" s="3" t="n">
        <v>5.7</v>
      </c>
      <c r="G20" s="3" t="n">
        <v>7</v>
      </c>
      <c r="H20" s="2" t="n">
        <v>5.5</v>
      </c>
      <c r="I20" s="6" t="n">
        <v>21.5</v>
      </c>
      <c r="J20" s="3" t="n">
        <v>19.6</v>
      </c>
      <c r="K20" s="3" t="n">
        <v>17.7</v>
      </c>
      <c r="L20" s="3" t="n">
        <v>3.8</v>
      </c>
      <c r="M20" s="2" t="inlineStr">
        <is>
          <t>20,000-30,000+</t>
        </is>
      </c>
      <c r="N20" s="2" t="inlineStr">
        <is>
          <t>100,000+</t>
        </is>
      </c>
      <c r="O20" s="2" t="inlineStr">
        <is>
          <t>#1 soap. LIGHTWEIGHT + no expiry = perfect FBA item.</t>
        </is>
      </c>
    </row>
    <row r="21" ht="50" customHeight="1">
      <c r="A21" s="2" t="inlineStr">
        <is>
          <t>Personal Care</t>
        </is>
      </c>
      <c r="B21" s="2" t="inlineStr">
        <is>
          <t>Dove Men+Care Body Wash 18oz 4-Pack</t>
        </is>
      </c>
      <c r="C21" s="2" t="inlineStr">
        <is>
          <t>Dove/Unilever</t>
        </is>
      </c>
      <c r="D21" s="3" t="n">
        <v>36</v>
      </c>
      <c r="E21" s="4" t="n">
        <v>0.15</v>
      </c>
      <c r="F21" s="3" t="n">
        <v>5.399999999999999</v>
      </c>
      <c r="G21" s="3" t="n">
        <v>7.5</v>
      </c>
      <c r="H21" s="2" t="n">
        <v>5</v>
      </c>
      <c r="I21" s="6" t="n">
        <v>19.5</v>
      </c>
      <c r="J21" s="3" t="n">
        <v>17.7</v>
      </c>
      <c r="K21" s="3" t="n">
        <v>15.9</v>
      </c>
      <c r="L21" s="3" t="n">
        <v>3.6</v>
      </c>
      <c r="M21" s="2" t="inlineStr">
        <is>
          <t>10,000-15,000+</t>
        </is>
      </c>
      <c r="N21" s="2" t="inlineStr">
        <is>
          <t>30,000+</t>
        </is>
      </c>
      <c r="O21" s="2" t="inlineStr">
        <is>
          <t>Men's grooming growing fast. Less competition than women's Dove.</t>
        </is>
      </c>
    </row>
    <row r="22" ht="50" customHeight="1">
      <c r="A22" s="2" t="inlineStr">
        <is>
          <t>Laundry</t>
        </is>
      </c>
      <c r="B22" s="2" t="inlineStr">
        <is>
          <t>Tide PODS 112ct Tub</t>
        </is>
      </c>
      <c r="C22" s="2" t="inlineStr">
        <is>
          <t>Tide/P&amp;G</t>
        </is>
      </c>
      <c r="D22" s="3" t="n">
        <v>28</v>
      </c>
      <c r="E22" s="4" t="n">
        <v>0.15</v>
      </c>
      <c r="F22" s="3" t="n">
        <v>4.2</v>
      </c>
      <c r="G22" s="3" t="n">
        <v>7</v>
      </c>
      <c r="H22" s="2" t="n">
        <v>5</v>
      </c>
      <c r="I22" s="7" t="n">
        <v>14</v>
      </c>
      <c r="J22" s="3" t="n">
        <v>12.6</v>
      </c>
      <c r="K22" s="3" t="n">
        <v>11.2</v>
      </c>
      <c r="L22" s="3" t="n">
        <v>2.8</v>
      </c>
      <c r="M22" s="2" t="inlineStr">
        <is>
          <t>40,000-50,000+</t>
        </is>
      </c>
      <c r="N22" s="2" t="inlineStr">
        <is>
          <t>100,000+</t>
        </is>
      </c>
      <c r="O22" s="2" t="inlineStr">
        <is>
          <t>KING of laundry. 50K+/mo. Lightweight pods = great FBA. Supplier carries Tide.</t>
        </is>
      </c>
    </row>
    <row r="23" ht="50" customHeight="1">
      <c r="A23" s="2" t="inlineStr">
        <is>
          <t>Laundry</t>
        </is>
      </c>
      <c r="B23" s="2" t="inlineStr">
        <is>
          <t>Gain Flings 112ct Tub</t>
        </is>
      </c>
      <c r="C23" s="2" t="inlineStr">
        <is>
          <t>Gain/P&amp;G</t>
        </is>
      </c>
      <c r="D23" s="3" t="n">
        <v>25</v>
      </c>
      <c r="E23" s="4" t="n">
        <v>0.15</v>
      </c>
      <c r="F23" s="3" t="n">
        <v>3.75</v>
      </c>
      <c r="G23" s="3" t="n">
        <v>7</v>
      </c>
      <c r="H23" s="2" t="n">
        <v>5</v>
      </c>
      <c r="I23" s="7" t="n">
        <v>11.75</v>
      </c>
      <c r="J23" s="3" t="n">
        <v>10.5</v>
      </c>
      <c r="K23" s="3" t="n">
        <v>9.25</v>
      </c>
      <c r="L23" s="3" t="n">
        <v>2.5</v>
      </c>
      <c r="M23" s="2" t="inlineStr">
        <is>
          <t>20,000+</t>
        </is>
      </c>
      <c r="N23" s="2" t="inlineStr">
        <is>
          <t>60,000+</t>
        </is>
      </c>
      <c r="O23" s="2" t="inlineStr">
        <is>
          <t>#2 pod. Same P&amp;G closeout dynamics as Tide. Strong scent = cult following.</t>
        </is>
      </c>
    </row>
    <row r="24" ht="50" customHeight="1">
      <c r="A24" s="2" t="inlineStr">
        <is>
          <t>Laundry</t>
        </is>
      </c>
      <c r="B24" s="2" t="inlineStr">
        <is>
          <t>Persil ProClean Discs 62ct</t>
        </is>
      </c>
      <c r="C24" s="2" t="inlineStr">
        <is>
          <t>Persil/Henkel</t>
        </is>
      </c>
      <c r="D24" s="3" t="n">
        <v>22</v>
      </c>
      <c r="E24" s="4" t="n">
        <v>0.15</v>
      </c>
      <c r="F24" s="3" t="n">
        <v>3.3</v>
      </c>
      <c r="G24" s="3" t="n">
        <v>5.5</v>
      </c>
      <c r="H24" s="2" t="n">
        <v>3.5</v>
      </c>
      <c r="I24" s="7" t="n">
        <v>11</v>
      </c>
      <c r="J24" s="3" t="n">
        <v>9.899999999999999</v>
      </c>
      <c r="K24" s="3" t="n">
        <v>8.799999999999999</v>
      </c>
      <c r="L24" s="3" t="n">
        <v>2.2</v>
      </c>
      <c r="M24" s="2" t="inlineStr">
        <is>
          <t>10,000-15,000+</t>
        </is>
      </c>
      <c r="N24" s="2" t="inlineStr">
        <is>
          <t>20,000+</t>
        </is>
      </c>
      <c r="O24" s="2" t="inlineStr">
        <is>
          <t>Premium European brand. Higher margin per unit than Tide.</t>
        </is>
      </c>
    </row>
    <row r="25" ht="50" customHeight="1">
      <c r="A25" s="2" t="inlineStr">
        <is>
          <t>Laundry</t>
        </is>
      </c>
      <c r="B25" s="2" t="inlineStr">
        <is>
          <t>Tide PODS 42ct (Spring Meadow)</t>
        </is>
      </c>
      <c r="C25" s="2" t="inlineStr">
        <is>
          <t>Tide/P&amp;G</t>
        </is>
      </c>
      <c r="D25" s="3" t="n">
        <v>13</v>
      </c>
      <c r="E25" s="4" t="n">
        <v>0.08</v>
      </c>
      <c r="F25" s="3" t="n">
        <v>1.04</v>
      </c>
      <c r="G25" s="3" t="n">
        <v>5</v>
      </c>
      <c r="H25" s="2" t="n">
        <v>2.5</v>
      </c>
      <c r="I25" s="7" t="n">
        <v>5.660000000000001</v>
      </c>
      <c r="J25" s="3" t="n">
        <v>5.010000000000001</v>
      </c>
      <c r="K25" s="3" t="n">
        <v>4.360000000000001</v>
      </c>
      <c r="L25" s="3" t="n">
        <v>1.3</v>
      </c>
      <c r="M25" s="2" t="inlineStr">
        <is>
          <t>50,000+</t>
        </is>
      </c>
      <c r="N25" s="2" t="inlineStr">
        <is>
          <t>100,000+</t>
        </is>
      </c>
      <c r="O25" s="2" t="inlineStr">
        <is>
          <t>Highest volume single laundry ASIN. 50K+/mo. Lower ticket but insane volume.</t>
        </is>
      </c>
    </row>
    <row r="26" ht="50" customHeight="1">
      <c r="A26" s="2" t="inlineStr">
        <is>
          <t>Cleaning</t>
        </is>
      </c>
      <c r="B26" s="2" t="inlineStr">
        <is>
          <t>Cascade Platinum ActionPacs 92ct</t>
        </is>
      </c>
      <c r="C26" s="2" t="inlineStr">
        <is>
          <t>Cascade/P&amp;G</t>
        </is>
      </c>
      <c r="D26" s="3" t="n">
        <v>28</v>
      </c>
      <c r="E26" s="4" t="n">
        <v>0.15</v>
      </c>
      <c r="F26" s="3" t="n">
        <v>4.2</v>
      </c>
      <c r="G26" s="3" t="n">
        <v>7</v>
      </c>
      <c r="H26" s="2" t="n">
        <v>4.5</v>
      </c>
      <c r="I26" s="7" t="n">
        <v>14</v>
      </c>
      <c r="J26" s="3" t="n">
        <v>12.6</v>
      </c>
      <c r="K26" s="3" t="n">
        <v>11.2</v>
      </c>
      <c r="L26" s="3" t="n">
        <v>2.8</v>
      </c>
      <c r="M26" s="2" t="inlineStr">
        <is>
          <t>50,000+</t>
        </is>
      </c>
      <c r="N26" s="2" t="inlineStr">
        <is>
          <t>80,000+</t>
        </is>
      </c>
      <c r="O26" s="2" t="inlineStr">
        <is>
          <t>#1 dishwasher pod. 50K+/mo. Lightweight = great FBA economics.</t>
        </is>
      </c>
    </row>
    <row r="27" ht="50" customHeight="1">
      <c r="A27" s="2" t="inlineStr">
        <is>
          <t>Cleaning</t>
        </is>
      </c>
      <c r="B27" s="2" t="inlineStr">
        <is>
          <t>Clorox Disinfecting Wipes 225ct (3x75)</t>
        </is>
      </c>
      <c r="C27" s="2" t="inlineStr">
        <is>
          <t>Clorox</t>
        </is>
      </c>
      <c r="D27" s="3" t="n">
        <v>15</v>
      </c>
      <c r="E27" s="4" t="n">
        <v>0.15</v>
      </c>
      <c r="F27" s="3" t="n">
        <v>2.25</v>
      </c>
      <c r="G27" s="3" t="n">
        <v>5</v>
      </c>
      <c r="H27" s="2" t="n">
        <v>3</v>
      </c>
      <c r="I27" s="7" t="n">
        <v>6.25</v>
      </c>
      <c r="J27" s="3" t="n">
        <v>5.5</v>
      </c>
      <c r="K27" s="3" t="n">
        <v>4.75</v>
      </c>
      <c r="L27" s="3" t="n">
        <v>1.5</v>
      </c>
      <c r="M27" s="2" t="inlineStr">
        <is>
          <t>100,000+</t>
        </is>
      </c>
      <c r="N27" s="2" t="inlineStr">
        <is>
          <t>150,000+</t>
        </is>
      </c>
      <c r="O27" s="2" t="inlineStr">
        <is>
          <t>100K+/mo. Post-COVID permanent demand. Supplier carries 15 Clorox items.</t>
        </is>
      </c>
    </row>
    <row r="28" ht="50" customHeight="1">
      <c r="A28" s="2" t="inlineStr">
        <is>
          <t>Cleaning</t>
        </is>
      </c>
      <c r="B28" s="2" t="inlineStr">
        <is>
          <t>Fabuloso Multi-Purpose 4-Gallon Pack</t>
        </is>
      </c>
      <c r="C28" s="2" t="inlineStr">
        <is>
          <t>Colgate-Palmolive</t>
        </is>
      </c>
      <c r="D28" s="3" t="n">
        <v>42</v>
      </c>
      <c r="E28" s="4" t="n">
        <v>0.15</v>
      </c>
      <c r="F28" s="3" t="n">
        <v>6.3</v>
      </c>
      <c r="G28" s="3" t="n">
        <v>14</v>
      </c>
      <c r="H28" s="2" t="n">
        <v>35</v>
      </c>
      <c r="I28" s="6" t="n">
        <v>17.5</v>
      </c>
      <c r="J28" s="3" t="n">
        <v>15.4</v>
      </c>
      <c r="K28" s="3" t="n">
        <v>13.3</v>
      </c>
      <c r="L28" s="3" t="n">
        <v>4.2</v>
      </c>
      <c r="M28" s="2" t="inlineStr">
        <is>
          <t>5,000-10,000+</t>
        </is>
      </c>
      <c r="N28" s="2" t="inlineStr">
        <is>
          <t>25,000+</t>
        </is>
      </c>
      <c r="O28" s="2" t="inlineStr">
        <is>
          <t>Hispanic + mainstream. LESS competition than Tide/Clorox on Amazon.</t>
        </is>
      </c>
    </row>
    <row r="29" ht="50" customHeight="1">
      <c r="A29" s="2" t="inlineStr">
        <is>
          <t>Hispanic</t>
        </is>
      </c>
      <c r="B29" s="2" t="inlineStr">
        <is>
          <t>Ariel Laundry Powder 211oz (13.2 lb)</t>
        </is>
      </c>
      <c r="C29" s="2" t="inlineStr">
        <is>
          <t>Ariel/P&amp;G</t>
        </is>
      </c>
      <c r="D29" s="3" t="n">
        <v>25</v>
      </c>
      <c r="E29" s="4" t="n">
        <v>0.15</v>
      </c>
      <c r="F29" s="3" t="n">
        <v>3.75</v>
      </c>
      <c r="G29" s="3" t="n">
        <v>8.5</v>
      </c>
      <c r="H29" s="2" t="n">
        <v>13.2</v>
      </c>
      <c r="I29" s="7" t="n">
        <v>10.25</v>
      </c>
      <c r="J29" s="3" t="n">
        <v>9</v>
      </c>
      <c r="K29" s="3" t="n">
        <v>7.75</v>
      </c>
      <c r="L29" s="3" t="n">
        <v>2.5</v>
      </c>
      <c r="M29" s="2" t="inlineStr">
        <is>
          <t>6,000+</t>
        </is>
      </c>
      <c r="N29" s="2" t="inlineStr">
        <is>
          <t>3,500+</t>
        </is>
      </c>
      <c r="O29" s="2" t="inlineStr">
        <is>
          <t>NOT in US stores. Online-only = premium pricing, less seller competition.</t>
        </is>
      </c>
    </row>
    <row r="30" ht="50" customHeight="1">
      <c r="A30" s="2" t="inlineStr">
        <is>
          <t>Hispanic</t>
        </is>
      </c>
      <c r="B30" s="2" t="inlineStr">
        <is>
          <t>Suavitel Fabric Softener 135oz (2-Pack)</t>
        </is>
      </c>
      <c r="C30" s="2" t="inlineStr">
        <is>
          <t>Colgate-Palmolive</t>
        </is>
      </c>
      <c r="D30" s="3" t="n">
        <v>30</v>
      </c>
      <c r="E30" s="4" t="n">
        <v>0.15</v>
      </c>
      <c r="F30" s="3" t="n">
        <v>4.5</v>
      </c>
      <c r="G30" s="3" t="n">
        <v>9</v>
      </c>
      <c r="H30" s="2" t="n">
        <v>17</v>
      </c>
      <c r="I30" s="7" t="n">
        <v>13.5</v>
      </c>
      <c r="J30" s="3" t="n">
        <v>12</v>
      </c>
      <c r="K30" s="3" t="n">
        <v>10.5</v>
      </c>
      <c r="L30" s="3" t="n">
        <v>3</v>
      </c>
      <c r="M30" s="2" t="inlineStr">
        <is>
          <t>5,000+</t>
        </is>
      </c>
      <c r="N30" s="2" t="inlineStr">
        <is>
          <t>10,000+</t>
        </is>
      </c>
      <c r="O30" s="2" t="inlineStr">
        <is>
          <t>Supplier has 17 Suavitel items. Hispanic households LOYAL to this brand.</t>
        </is>
      </c>
    </row>
    <row r="31" ht="50" customHeight="1">
      <c r="A31" s="2" t="inlineStr">
        <is>
          <t>Household</t>
        </is>
      </c>
      <c r="B31" s="2" t="inlineStr">
        <is>
          <t>Glad ForceFlexPlus 13 Gal 110ct</t>
        </is>
      </c>
      <c r="C31" s="2" t="inlineStr">
        <is>
          <t>Glad/Clorox</t>
        </is>
      </c>
      <c r="D31" s="3" t="n">
        <v>18</v>
      </c>
      <c r="E31" s="4" t="n">
        <v>0.15</v>
      </c>
      <c r="F31" s="3" t="n">
        <v>2.7</v>
      </c>
      <c r="G31" s="3" t="n">
        <v>5.5</v>
      </c>
      <c r="H31" s="2" t="n">
        <v>3.5</v>
      </c>
      <c r="I31" s="7" t="n">
        <v>8</v>
      </c>
      <c r="J31" s="3" t="n">
        <v>7.100000000000001</v>
      </c>
      <c r="K31" s="3" t="n">
        <v>6.200000000000001</v>
      </c>
      <c r="L31" s="3" t="n">
        <v>1.8</v>
      </c>
      <c r="M31" s="2" t="inlineStr">
        <is>
          <t>50,000+</t>
        </is>
      </c>
      <c r="N31" s="2" t="inlineStr">
        <is>
          <t>80,000+</t>
        </is>
      </c>
      <c r="O31" s="2" t="inlineStr">
        <is>
          <t>#1 trash bag. 50K+/mo. Lightweight, compact, great FBA.</t>
        </is>
      </c>
    </row>
    <row r="32" ht="50" customHeight="1">
      <c r="A32" s="2" t="inlineStr">
        <is>
          <t>Household</t>
        </is>
      </c>
      <c r="B32" s="2" t="inlineStr">
        <is>
          <t>Hefty Ultra Strong 30 Gal 50ct 2-Pack</t>
        </is>
      </c>
      <c r="C32" s="2" t="inlineStr">
        <is>
          <t>Hefty/Reynolds</t>
        </is>
      </c>
      <c r="D32" s="3" t="n">
        <v>32</v>
      </c>
      <c r="E32" s="4" t="n">
        <v>0.15</v>
      </c>
      <c r="F32" s="3" t="n">
        <v>4.8</v>
      </c>
      <c r="G32" s="3" t="n">
        <v>7</v>
      </c>
      <c r="H32" s="2" t="n">
        <v>5</v>
      </c>
      <c r="I32" s="6" t="n">
        <v>17</v>
      </c>
      <c r="J32" s="3" t="n">
        <v>15.4</v>
      </c>
      <c r="K32" s="3" t="n">
        <v>13.8</v>
      </c>
      <c r="L32" s="3" t="n">
        <v>3.2</v>
      </c>
      <c r="M32" s="2" t="inlineStr">
        <is>
          <t>20,000+</t>
        </is>
      </c>
      <c r="N32" s="2" t="inlineStr">
        <is>
          <t>40,000+</t>
        </is>
      </c>
      <c r="O32" s="2" t="inlineStr">
        <is>
          <t>Large bag = less competition. Contractor/outdoor buyers.</t>
        </is>
      </c>
    </row>
    <row r="33" ht="50" customHeight="1">
      <c r="A33" s="2" t="inlineStr">
        <is>
          <t>Pet</t>
        </is>
      </c>
      <c r="B33" s="2" t="inlineStr">
        <is>
          <t>Arm &amp; Hammer Clump &amp; Seal Cat Litter 28lb</t>
        </is>
      </c>
      <c r="C33" s="2" t="inlineStr">
        <is>
          <t>Church &amp; Dwight</t>
        </is>
      </c>
      <c r="D33" s="3" t="n">
        <v>22</v>
      </c>
      <c r="E33" s="4" t="n">
        <v>0.15</v>
      </c>
      <c r="F33" s="3" t="n">
        <v>3.3</v>
      </c>
      <c r="G33" s="3" t="n">
        <v>9</v>
      </c>
      <c r="H33" s="2" t="n">
        <v>28</v>
      </c>
      <c r="I33" s="7" t="n">
        <v>7.499999999999999</v>
      </c>
      <c r="J33" s="3" t="n">
        <v>6.399999999999999</v>
      </c>
      <c r="K33" s="3" t="n">
        <v>5.299999999999999</v>
      </c>
      <c r="L33" s="3" t="n">
        <v>2.2</v>
      </c>
      <c r="M33" s="2" t="inlineStr">
        <is>
          <t>60,000+</t>
        </is>
      </c>
      <c r="N33" s="2" t="inlineStr">
        <is>
          <t>50,000+</t>
        </is>
      </c>
      <c r="O33" s="2" t="inlineStr">
        <is>
          <t>60K+/mo. Supplier carries A&amp;H. Brand loyalty in cat litter is EXTREME.</t>
        </is>
      </c>
    </row>
    <row r="34" ht="50" customHeight="1">
      <c r="A34" s="2" t="inlineStr">
        <is>
          <t>Pet</t>
        </is>
      </c>
      <c r="B34" s="2" t="inlineStr">
        <is>
          <t>Fresh Step Cat Litter 37lb Multi-Cat</t>
        </is>
      </c>
      <c r="C34" s="2" t="inlineStr">
        <is>
          <t>Clorox</t>
        </is>
      </c>
      <c r="D34" s="3" t="n">
        <v>24</v>
      </c>
      <c r="E34" s="4" t="n">
        <v>0.15</v>
      </c>
      <c r="F34" s="3" t="n">
        <v>3.6</v>
      </c>
      <c r="G34" s="3" t="n">
        <v>10</v>
      </c>
      <c r="H34" s="2" t="n">
        <v>37</v>
      </c>
      <c r="I34" s="7" t="n">
        <v>7.999999999999998</v>
      </c>
      <c r="J34" s="3" t="n">
        <v>6.799999999999999</v>
      </c>
      <c r="K34" s="3" t="n">
        <v>5.599999999999998</v>
      </c>
      <c r="L34" s="3" t="n">
        <v>2.4</v>
      </c>
      <c r="M34" s="2" t="inlineStr">
        <is>
          <t>20,000+</t>
        </is>
      </c>
      <c r="N34" s="2" t="inlineStr">
        <is>
          <t>30,000+</t>
        </is>
      </c>
      <c r="O34" s="2" t="inlineStr">
        <is>
          <t>Supplier ALREADY carries this. Same Clorox wholesale channel.</t>
        </is>
      </c>
    </row>
    <row r="35" ht="50" customHeight="1">
      <c r="A35" s="2" t="inlineStr">
        <is>
          <t>Pet</t>
        </is>
      </c>
      <c r="B35" s="2" t="inlineStr">
        <is>
          <t>Temptations Cat Treats Variety 16oz 4-Pack</t>
        </is>
      </c>
      <c r="C35" s="2" t="inlineStr">
        <is>
          <t>Mars</t>
        </is>
      </c>
      <c r="D35" s="3" t="n">
        <v>25</v>
      </c>
      <c r="E35" s="4" t="n">
        <v>0.15</v>
      </c>
      <c r="F35" s="3" t="n">
        <v>3.75</v>
      </c>
      <c r="G35" s="3" t="n">
        <v>5.5</v>
      </c>
      <c r="H35" s="2" t="n">
        <v>4</v>
      </c>
      <c r="I35" s="7" t="n">
        <v>13.25</v>
      </c>
      <c r="J35" s="3" t="n">
        <v>12</v>
      </c>
      <c r="K35" s="3" t="n">
        <v>10.75</v>
      </c>
      <c r="L35" s="3" t="n">
        <v>2.5</v>
      </c>
      <c r="M35" s="2" t="inlineStr">
        <is>
          <t>30,000+</t>
        </is>
      </c>
      <c r="N35" s="2" t="inlineStr">
        <is>
          <t>45,000+</t>
        </is>
      </c>
      <c r="O35" s="2" t="inlineStr">
        <is>
          <t>#1 cat treat. LIGHTWEIGHT = great FBA. Pet treats = highest margins in pet.</t>
        </is>
      </c>
    </row>
    <row r="36" ht="50" customHeight="1">
      <c r="A36" s="2" t="inlineStr">
        <is>
          <t>Pet</t>
        </is>
      </c>
      <c r="B36" s="2" t="inlineStr">
        <is>
          <t>Blue Buffalo 24lb Chicken &amp; Brown Rice (Dog)</t>
        </is>
      </c>
      <c r="C36" s="2" t="inlineStr">
        <is>
          <t>General Mills</t>
        </is>
      </c>
      <c r="D36" s="3" t="n">
        <v>55</v>
      </c>
      <c r="E36" s="4" t="n">
        <v>0.15</v>
      </c>
      <c r="F36" s="3" t="n">
        <v>8.25</v>
      </c>
      <c r="G36" s="3" t="n">
        <v>10</v>
      </c>
      <c r="H36" s="2" t="n">
        <v>24</v>
      </c>
      <c r="I36" s="5" t="n">
        <v>31.25</v>
      </c>
      <c r="J36" s="3" t="n">
        <v>28.5</v>
      </c>
      <c r="K36" s="3" t="n">
        <v>25.75</v>
      </c>
      <c r="L36" s="3" t="n">
        <v>5.5</v>
      </c>
      <c r="M36" s="2" t="inlineStr">
        <is>
          <t>10,000+</t>
        </is>
      </c>
      <c r="N36" s="2" t="inlineStr">
        <is>
          <t>35,000+</t>
        </is>
      </c>
      <c r="O36" s="2" t="inlineStr">
        <is>
          <t>Premium dog food. GM product — supplier carries 28 GM items.</t>
        </is>
      </c>
    </row>
    <row r="37" ht="50" customHeight="1">
      <c r="A37" s="2" t="inlineStr">
        <is>
          <t>Cereal</t>
        </is>
      </c>
      <c r="B37" s="2" t="inlineStr">
        <is>
          <t>Honey Nut Cheerios 27.2oz (2-Pack)</t>
        </is>
      </c>
      <c r="C37" s="2" t="inlineStr">
        <is>
          <t>General Mills</t>
        </is>
      </c>
      <c r="D37" s="3" t="n">
        <v>14</v>
      </c>
      <c r="E37" s="4" t="n">
        <v>0.08</v>
      </c>
      <c r="F37" s="3" t="n">
        <v>1.12</v>
      </c>
      <c r="G37" s="3" t="n">
        <v>5</v>
      </c>
      <c r="H37" s="2" t="n">
        <v>3.5</v>
      </c>
      <c r="I37" s="7" t="n">
        <v>6.479999999999999</v>
      </c>
      <c r="J37" s="3" t="n">
        <v>5.779999999999999</v>
      </c>
      <c r="K37" s="3" t="n">
        <v>5.079999999999998</v>
      </c>
      <c r="L37" s="3" t="n">
        <v>1.4</v>
      </c>
      <c r="M37" s="2" t="inlineStr">
        <is>
          <t>30,000+</t>
        </is>
      </c>
      <c r="N37" s="2" t="inlineStr">
        <is>
          <t>58,000+</t>
        </is>
      </c>
      <c r="O37" s="2" t="inlineStr">
        <is>
          <t>#1 US cereal. Supplier carries GM. Low ticket but great add-on.</t>
        </is>
      </c>
    </row>
  </sheetData>
  <autoFilter ref="A1:O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20" customWidth="1" min="3" max="3"/>
    <col width="16" customWidth="1" min="4" max="4"/>
    <col width="18" customWidth="1" min="5" max="5"/>
    <col width="14" customWidth="1" min="6" max="6"/>
  </cols>
  <sheetData>
    <row r="1">
      <c r="A1" s="8" t="inlineStr">
        <is>
          <t>PRODUCTS TO ASK YOUR SUPPLIER FOR</t>
        </is>
      </c>
    </row>
    <row r="2">
      <c r="A2" s="9" t="inlineStr">
        <is>
          <t>If he quotes you BELOW the Max Cost, you make at least 10% profit on Amazon after all fees.</t>
        </is>
      </c>
    </row>
    <row r="3">
      <c r="A3" s="9" t="inlineStr">
        <is>
          <t>GREEN = Easy to hit. YELLOW = Tight but doable. RED = Hard to profit on, skip unless very cheap.</t>
        </is>
      </c>
    </row>
    <row r="5" ht="40" customHeight="1">
      <c r="A5" s="1" t="inlineStr">
        <is>
          <t>PRODUCT</t>
        </is>
      </c>
      <c r="B5" s="1" t="inlineStr">
        <is>
          <t>Amazon Price</t>
        </is>
      </c>
      <c r="C5" s="1" t="inlineStr">
        <is>
          <t>MAX YOU CAN PAY
(for 10% profit)</t>
        </is>
      </c>
      <c r="D5" s="1" t="inlineStr">
        <is>
          <t>YOUR PROFIT
IF AT MAX COST</t>
        </is>
      </c>
      <c r="E5" s="1" t="inlineStr">
        <is>
          <t>MONTHLY SALES</t>
        </is>
      </c>
      <c r="F5" s="1" t="inlineStr">
        <is>
          <t>PRIORITY</t>
        </is>
      </c>
    </row>
    <row r="6" ht="30" customHeight="1">
      <c r="A6" s="2" t="inlineStr">
        <is>
          <t>Starbucks Pike Place K-Cup Pods 96ct</t>
        </is>
      </c>
      <c r="B6" s="3" t="n">
        <v>60</v>
      </c>
      <c r="C6" s="5" t="n">
        <v>39</v>
      </c>
      <c r="D6" s="3" t="n">
        <v>6</v>
      </c>
      <c r="E6" s="2" t="inlineStr">
        <is>
          <t>20,000-30,000+</t>
        </is>
      </c>
      <c r="F6" s="10" t="inlineStr">
        <is>
          <t>BUY IT</t>
        </is>
      </c>
    </row>
    <row r="7" ht="30" customHeight="1">
      <c r="A7" s="2" t="inlineStr">
        <is>
          <t>Newman's Own Organic Special Blend K-Cups 100ct</t>
        </is>
      </c>
      <c r="B7" s="3" t="n">
        <v>55</v>
      </c>
      <c r="C7" s="5" t="n">
        <v>35.25</v>
      </c>
      <c r="D7" s="3" t="n">
        <v>5.5</v>
      </c>
      <c r="E7" s="2" t="inlineStr">
        <is>
          <t>5,000-10,000+</t>
        </is>
      </c>
      <c r="F7" s="10" t="inlineStr">
        <is>
          <t>BUY IT</t>
        </is>
      </c>
    </row>
    <row r="8" ht="30" customHeight="1">
      <c r="A8" s="2" t="inlineStr">
        <is>
          <t>Starbucks French Roast K-Cups 72ct</t>
        </is>
      </c>
      <c r="B8" s="3" t="n">
        <v>52</v>
      </c>
      <c r="C8" s="5" t="n">
        <v>33.5</v>
      </c>
      <c r="D8" s="3" t="n">
        <v>5.2</v>
      </c>
      <c r="E8" s="2" t="inlineStr">
        <is>
          <t>10,000-15,000+</t>
        </is>
      </c>
      <c r="F8" s="10" t="inlineStr">
        <is>
          <t>BUY IT</t>
        </is>
      </c>
    </row>
    <row r="9" ht="30" customHeight="1">
      <c r="A9" s="2" t="inlineStr">
        <is>
          <t>Pampers Swaddlers Size 4, 150ct Box</t>
        </is>
      </c>
      <c r="B9" s="3" t="n">
        <v>57</v>
      </c>
      <c r="C9" s="5" t="n">
        <v>32.75</v>
      </c>
      <c r="D9" s="3" t="n">
        <v>5.7</v>
      </c>
      <c r="E9" s="2" t="inlineStr">
        <is>
          <t>20,000-30,000+</t>
        </is>
      </c>
      <c r="F9" s="10" t="inlineStr">
        <is>
          <t>BUY IT</t>
        </is>
      </c>
    </row>
    <row r="10" ht="30" customHeight="1">
      <c r="A10" s="2" t="inlineStr">
        <is>
          <t>Green Mountain Breakfast Blend K-Cups 96ct</t>
        </is>
      </c>
      <c r="B10" s="3" t="n">
        <v>50</v>
      </c>
      <c r="C10" s="5" t="n">
        <v>31.5</v>
      </c>
      <c r="D10" s="3" t="n">
        <v>5</v>
      </c>
      <c r="E10" s="2" t="inlineStr">
        <is>
          <t>15,000-25,000+</t>
        </is>
      </c>
      <c r="F10" s="10" t="inlineStr">
        <is>
          <t>BUY IT</t>
        </is>
      </c>
    </row>
    <row r="11" ht="30" customHeight="1">
      <c r="A11" s="2" t="inlineStr">
        <is>
          <t>The Original Donut Shop Medium Roast K-Cups 96ct</t>
        </is>
      </c>
      <c r="B11" s="3" t="n">
        <v>50</v>
      </c>
      <c r="C11" s="5" t="n">
        <v>31.5</v>
      </c>
      <c r="D11" s="3" t="n">
        <v>5</v>
      </c>
      <c r="E11" s="2" t="inlineStr">
        <is>
          <t>10,000-20,000+</t>
        </is>
      </c>
      <c r="F11" s="10" t="inlineStr">
        <is>
          <t>BUY IT</t>
        </is>
      </c>
    </row>
    <row r="12" ht="30" customHeight="1">
      <c r="A12" s="2" t="inlineStr">
        <is>
          <t>Pampers Swaddlers Size 5, 132ct Box</t>
        </is>
      </c>
      <c r="B12" s="3" t="n">
        <v>55</v>
      </c>
      <c r="C12" s="5" t="n">
        <v>31.25</v>
      </c>
      <c r="D12" s="3" t="n">
        <v>5.5</v>
      </c>
      <c r="E12" s="2" t="inlineStr">
        <is>
          <t>15,000-25,000+</t>
        </is>
      </c>
      <c r="F12" s="10" t="inlineStr">
        <is>
          <t>BUY IT</t>
        </is>
      </c>
    </row>
    <row r="13" ht="30" customHeight="1">
      <c r="A13" s="2" t="inlineStr">
        <is>
          <t>Pampers Swaddlers Size 3, 168ct Box</t>
        </is>
      </c>
      <c r="B13" s="3" t="n">
        <v>55</v>
      </c>
      <c r="C13" s="5" t="n">
        <v>31.25</v>
      </c>
      <c r="D13" s="3" t="n">
        <v>5.5</v>
      </c>
      <c r="E13" s="2" t="inlineStr">
        <is>
          <t>15,000-25,000+</t>
        </is>
      </c>
      <c r="F13" s="10" t="inlineStr">
        <is>
          <t>BUY IT</t>
        </is>
      </c>
    </row>
    <row r="14" ht="30" customHeight="1">
      <c r="A14" s="2" t="inlineStr">
        <is>
          <t>Huggies Little Snugglers Size 2, 180ct Box</t>
        </is>
      </c>
      <c r="B14" s="3" t="n">
        <v>55</v>
      </c>
      <c r="C14" s="5" t="n">
        <v>31.25</v>
      </c>
      <c r="D14" s="3" t="n">
        <v>5.5</v>
      </c>
      <c r="E14" s="2" t="inlineStr">
        <is>
          <t>10,000-20,000+</t>
        </is>
      </c>
      <c r="F14" s="10" t="inlineStr">
        <is>
          <t>BUY IT</t>
        </is>
      </c>
    </row>
    <row r="15" ht="30" customHeight="1">
      <c r="A15" s="2" t="inlineStr">
        <is>
          <t>Blue Buffalo 24lb Chicken &amp; Brown Rice (Dog)</t>
        </is>
      </c>
      <c r="B15" s="3" t="n">
        <v>55</v>
      </c>
      <c r="C15" s="5" t="n">
        <v>31.25</v>
      </c>
      <c r="D15" s="3" t="n">
        <v>5.5</v>
      </c>
      <c r="E15" s="2" t="inlineStr">
        <is>
          <t>10,000+</t>
        </is>
      </c>
      <c r="F15" s="10" t="inlineStr">
        <is>
          <t>BUY IT</t>
        </is>
      </c>
    </row>
    <row r="16" ht="30" customHeight="1">
      <c r="A16" s="2" t="inlineStr">
        <is>
          <t>Dove Deep Moisture Body Wash 30.6oz Pump 6-Pack</t>
        </is>
      </c>
      <c r="B16" s="3" t="n">
        <v>55</v>
      </c>
      <c r="C16" s="5" t="n">
        <v>30.75</v>
      </c>
      <c r="D16" s="3" t="n">
        <v>5.5</v>
      </c>
      <c r="E16" s="2" t="inlineStr">
        <is>
          <t>15,000-20,000+</t>
        </is>
      </c>
      <c r="F16" s="10" t="inlineStr">
        <is>
          <t>BUY IT</t>
        </is>
      </c>
    </row>
    <row r="17" ht="30" customHeight="1">
      <c r="A17" s="2" t="inlineStr">
        <is>
          <t>Huggies Little Movers Size 4, 140ct Box</t>
        </is>
      </c>
      <c r="B17" s="3" t="n">
        <v>52</v>
      </c>
      <c r="C17" s="6" t="n">
        <v>29.5</v>
      </c>
      <c r="D17" s="3" t="n">
        <v>5.2</v>
      </c>
      <c r="E17" s="2" t="inlineStr">
        <is>
          <t>15,000-20,000+</t>
        </is>
      </c>
      <c r="F17" s="11" t="inlineStr">
        <is>
          <t>GOOD</t>
        </is>
      </c>
    </row>
    <row r="18" ht="30" customHeight="1">
      <c r="A18" s="2" t="inlineStr">
        <is>
          <t>Pampers Cruisers 360 Size 5, 112ct</t>
        </is>
      </c>
      <c r="B18" s="3" t="n">
        <v>52</v>
      </c>
      <c r="C18" s="6" t="n">
        <v>29.5</v>
      </c>
      <c r="D18" s="3" t="n">
        <v>5.2</v>
      </c>
      <c r="E18" s="2" t="inlineStr">
        <is>
          <t>10,000-15,000+</t>
        </is>
      </c>
      <c r="F18" s="11" t="inlineStr">
        <is>
          <t>GOOD</t>
        </is>
      </c>
    </row>
    <row r="19" ht="30" customHeight="1">
      <c r="A19" s="2" t="inlineStr">
        <is>
          <t>Dunkin' Original Blend K-Cups 72ct</t>
        </is>
      </c>
      <c r="B19" s="3" t="n">
        <v>44</v>
      </c>
      <c r="C19" s="6" t="n">
        <v>27.5</v>
      </c>
      <c r="D19" s="3" t="n">
        <v>4.4</v>
      </c>
      <c r="E19" s="2" t="inlineStr">
        <is>
          <t>10,000-15,000+</t>
        </is>
      </c>
      <c r="F19" s="11" t="inlineStr">
        <is>
          <t>GOOD</t>
        </is>
      </c>
    </row>
    <row r="20" ht="30" customHeight="1">
      <c r="A20" s="2" t="inlineStr">
        <is>
          <t>Charmin Ultra Soft 24 Mega Rolls</t>
        </is>
      </c>
      <c r="B20" s="3" t="n">
        <v>53</v>
      </c>
      <c r="C20" s="6" t="n">
        <v>26.75</v>
      </c>
      <c r="D20" s="3" t="n">
        <v>5.300000000000001</v>
      </c>
      <c r="E20" s="2" t="inlineStr">
        <is>
          <t>70,000-90,000+</t>
        </is>
      </c>
      <c r="F20" s="11" t="inlineStr">
        <is>
          <t>GOOD</t>
        </is>
      </c>
    </row>
    <row r="21" ht="30" customHeight="1">
      <c r="A21" s="2" t="inlineStr">
        <is>
          <t>McCafe Premium Roast K-Cups 84ct</t>
        </is>
      </c>
      <c r="B21" s="3" t="n">
        <v>42</v>
      </c>
      <c r="C21" s="6" t="n">
        <v>26</v>
      </c>
      <c r="D21" s="3" t="n">
        <v>4.2</v>
      </c>
      <c r="E21" s="2" t="inlineStr">
        <is>
          <t>10,000-15,000+</t>
        </is>
      </c>
      <c r="F21" s="11" t="inlineStr">
        <is>
          <t>GOOD</t>
        </is>
      </c>
    </row>
    <row r="22" ht="30" customHeight="1">
      <c r="A22" s="2" t="inlineStr">
        <is>
          <t>Bounty Quick-Size Paper Towels 16 Family Rolls</t>
        </is>
      </c>
      <c r="B22" s="3" t="n">
        <v>52</v>
      </c>
      <c r="C22" s="6" t="n">
        <v>26</v>
      </c>
      <c r="D22" s="3" t="n">
        <v>5.2</v>
      </c>
      <c r="E22" s="2" t="inlineStr">
        <is>
          <t>100,000+</t>
        </is>
      </c>
      <c r="F22" s="11" t="inlineStr">
        <is>
          <t>GOOD</t>
        </is>
      </c>
    </row>
    <row r="23" ht="30" customHeight="1">
      <c r="A23" s="2" t="inlineStr">
        <is>
          <t>Cottonelle Ultra CleanCare 24 Mega Rolls</t>
        </is>
      </c>
      <c r="B23" s="3" t="n">
        <v>50</v>
      </c>
      <c r="C23" s="6" t="n">
        <v>25</v>
      </c>
      <c r="D23" s="3" t="n">
        <v>5</v>
      </c>
      <c r="E23" s="2" t="inlineStr">
        <is>
          <t>20,000-30,000+</t>
        </is>
      </c>
      <c r="F23" s="11" t="inlineStr">
        <is>
          <t>GOOD</t>
        </is>
      </c>
    </row>
    <row r="24" ht="30" customHeight="1">
      <c r="A24" s="2" t="inlineStr">
        <is>
          <t>Folgers Classic Roast K-Cups 72ct</t>
        </is>
      </c>
      <c r="B24" s="3" t="n">
        <v>38</v>
      </c>
      <c r="C24" s="6" t="n">
        <v>23</v>
      </c>
      <c r="D24" s="3" t="n">
        <v>3.8</v>
      </c>
      <c r="E24" s="2" t="inlineStr">
        <is>
          <t>10,000-15,000+</t>
        </is>
      </c>
      <c r="F24" s="11" t="inlineStr">
        <is>
          <t>GOOD</t>
        </is>
      </c>
    </row>
    <row r="25" ht="30" customHeight="1">
      <c r="A25" s="2" t="inlineStr">
        <is>
          <t>Dove Beauty Bar 24-Pack</t>
        </is>
      </c>
      <c r="B25" s="3" t="n">
        <v>38</v>
      </c>
      <c r="C25" s="6" t="n">
        <v>21.5</v>
      </c>
      <c r="D25" s="3" t="n">
        <v>3.8</v>
      </c>
      <c r="E25" s="2" t="inlineStr">
        <is>
          <t>20,000-30,000+</t>
        </is>
      </c>
      <c r="F25" s="11" t="inlineStr">
        <is>
          <t>GOOD</t>
        </is>
      </c>
    </row>
    <row r="26" ht="30" customHeight="1">
      <c r="A26" s="2" t="inlineStr">
        <is>
          <t>Dove Men+Care Body Wash 18oz 4-Pack</t>
        </is>
      </c>
      <c r="B26" s="3" t="n">
        <v>36</v>
      </c>
      <c r="C26" s="6" t="n">
        <v>19.5</v>
      </c>
      <c r="D26" s="3" t="n">
        <v>3.6</v>
      </c>
      <c r="E26" s="2" t="inlineStr">
        <is>
          <t>10,000-15,000+</t>
        </is>
      </c>
      <c r="F26" s="11" t="inlineStr">
        <is>
          <t>GOOD</t>
        </is>
      </c>
    </row>
    <row r="27" ht="30" customHeight="1">
      <c r="A27" s="2" t="inlineStr">
        <is>
          <t>Fabuloso Multi-Purpose 4-Gallon Pack</t>
        </is>
      </c>
      <c r="B27" s="3" t="n">
        <v>42</v>
      </c>
      <c r="C27" s="6" t="n">
        <v>17.5</v>
      </c>
      <c r="D27" s="3" t="n">
        <v>4.2</v>
      </c>
      <c r="E27" s="2" t="inlineStr">
        <is>
          <t>5,000-10,000+</t>
        </is>
      </c>
      <c r="F27" s="11" t="inlineStr">
        <is>
          <t>GOOD</t>
        </is>
      </c>
    </row>
    <row r="28" ht="30" customHeight="1">
      <c r="A28" s="2" t="inlineStr">
        <is>
          <t>Hefty Ultra Strong 30 Gal 50ct 2-Pack</t>
        </is>
      </c>
      <c r="B28" s="3" t="n">
        <v>32</v>
      </c>
      <c r="C28" s="6" t="n">
        <v>17</v>
      </c>
      <c r="D28" s="3" t="n">
        <v>3.2</v>
      </c>
      <c r="E28" s="2" t="inlineStr">
        <is>
          <t>20,000+</t>
        </is>
      </c>
      <c r="F28" s="11" t="inlineStr">
        <is>
          <t>GOOD</t>
        </is>
      </c>
    </row>
    <row r="29" ht="30" customHeight="1">
      <c r="A29" s="2" t="inlineStr">
        <is>
          <t>Tide PODS 112ct Tub</t>
        </is>
      </c>
      <c r="B29" s="3" t="n">
        <v>28</v>
      </c>
      <c r="C29" s="7" t="n">
        <v>14</v>
      </c>
      <c r="D29" s="3" t="n">
        <v>2.8</v>
      </c>
      <c r="E29" s="2" t="inlineStr">
        <is>
          <t>40,000-50,000+</t>
        </is>
      </c>
      <c r="F29" s="12" t="inlineStr">
        <is>
          <t>TIGHT</t>
        </is>
      </c>
    </row>
    <row r="30" ht="30" customHeight="1">
      <c r="A30" s="2" t="inlineStr">
        <is>
          <t>Cascade Platinum ActionPacs 92ct</t>
        </is>
      </c>
      <c r="B30" s="3" t="n">
        <v>28</v>
      </c>
      <c r="C30" s="7" t="n">
        <v>14</v>
      </c>
      <c r="D30" s="3" t="n">
        <v>2.8</v>
      </c>
      <c r="E30" s="2" t="inlineStr">
        <is>
          <t>50,000+</t>
        </is>
      </c>
      <c r="F30" s="12" t="inlineStr">
        <is>
          <t>TIGHT</t>
        </is>
      </c>
    </row>
    <row r="31" ht="30" customHeight="1">
      <c r="A31" s="2" t="inlineStr">
        <is>
          <t>Suavitel Fabric Softener 135oz (2-Pack)</t>
        </is>
      </c>
      <c r="B31" s="3" t="n">
        <v>30</v>
      </c>
      <c r="C31" s="7" t="n">
        <v>13.5</v>
      </c>
      <c r="D31" s="3" t="n">
        <v>3</v>
      </c>
      <c r="E31" s="2" t="inlineStr">
        <is>
          <t>5,000+</t>
        </is>
      </c>
      <c r="F31" s="12" t="inlineStr">
        <is>
          <t>TIGHT</t>
        </is>
      </c>
    </row>
    <row r="32" ht="30" customHeight="1">
      <c r="A32" s="2" t="inlineStr">
        <is>
          <t>Temptations Cat Treats Variety 16oz 4-Pack</t>
        </is>
      </c>
      <c r="B32" s="3" t="n">
        <v>25</v>
      </c>
      <c r="C32" s="7" t="n">
        <v>13.25</v>
      </c>
      <c r="D32" s="3" t="n">
        <v>2.5</v>
      </c>
      <c r="E32" s="2" t="inlineStr">
        <is>
          <t>30,000+</t>
        </is>
      </c>
      <c r="F32" s="12" t="inlineStr">
        <is>
          <t>TIGHT</t>
        </is>
      </c>
    </row>
    <row r="33" ht="30" customHeight="1">
      <c r="A33" s="2" t="inlineStr">
        <is>
          <t>Gain Flings 112ct Tub</t>
        </is>
      </c>
      <c r="B33" s="3" t="n">
        <v>25</v>
      </c>
      <c r="C33" s="7" t="n">
        <v>11.75</v>
      </c>
      <c r="D33" s="3" t="n">
        <v>2.5</v>
      </c>
      <c r="E33" s="2" t="inlineStr">
        <is>
          <t>20,000+</t>
        </is>
      </c>
      <c r="F33" s="12" t="inlineStr">
        <is>
          <t>TIGHT</t>
        </is>
      </c>
    </row>
    <row r="34" ht="30" customHeight="1">
      <c r="A34" s="2" t="inlineStr">
        <is>
          <t>Persil ProClean Discs 62ct</t>
        </is>
      </c>
      <c r="B34" s="3" t="n">
        <v>22</v>
      </c>
      <c r="C34" s="7" t="n">
        <v>11</v>
      </c>
      <c r="D34" s="3" t="n">
        <v>2.2</v>
      </c>
      <c r="E34" s="2" t="inlineStr">
        <is>
          <t>10,000-15,000+</t>
        </is>
      </c>
      <c r="F34" s="12" t="inlineStr">
        <is>
          <t>TIGHT</t>
        </is>
      </c>
    </row>
    <row r="35" ht="30" customHeight="1">
      <c r="A35" s="2" t="inlineStr">
        <is>
          <t>Ariel Laundry Powder 211oz (13.2 lb)</t>
        </is>
      </c>
      <c r="B35" s="3" t="n">
        <v>25</v>
      </c>
      <c r="C35" s="7" t="n">
        <v>10.25</v>
      </c>
      <c r="D35" s="3" t="n">
        <v>2.5</v>
      </c>
      <c r="E35" s="2" t="inlineStr">
        <is>
          <t>6,000+</t>
        </is>
      </c>
      <c r="F35" s="12" t="inlineStr">
        <is>
          <t>TIGHT</t>
        </is>
      </c>
    </row>
    <row r="36" ht="30" customHeight="1">
      <c r="A36" s="2" t="inlineStr">
        <is>
          <t>Glad ForceFlexPlus 13 Gal 110ct</t>
        </is>
      </c>
      <c r="B36" s="3" t="n">
        <v>18</v>
      </c>
      <c r="C36" s="7" t="n">
        <v>8</v>
      </c>
      <c r="D36" s="3" t="n">
        <v>1.8</v>
      </c>
      <c r="E36" s="2" t="inlineStr">
        <is>
          <t>50,000+</t>
        </is>
      </c>
      <c r="F36" s="12" t="inlineStr">
        <is>
          <t>TIGHT</t>
        </is>
      </c>
    </row>
    <row r="37" ht="30" customHeight="1">
      <c r="A37" s="2" t="inlineStr">
        <is>
          <t>Fresh Step Cat Litter 37lb Multi-Cat</t>
        </is>
      </c>
      <c r="B37" s="3" t="n">
        <v>24</v>
      </c>
      <c r="C37" s="7" t="n">
        <v>7.999999999999998</v>
      </c>
      <c r="D37" s="3" t="n">
        <v>2.4</v>
      </c>
      <c r="E37" s="2" t="inlineStr">
        <is>
          <t>20,000+</t>
        </is>
      </c>
      <c r="F37" s="12" t="inlineStr">
        <is>
          <t>TIGHT</t>
        </is>
      </c>
    </row>
    <row r="38" ht="30" customHeight="1">
      <c r="A38" s="2" t="inlineStr">
        <is>
          <t>Arm &amp; Hammer Clump &amp; Seal Cat Litter 28lb</t>
        </is>
      </c>
      <c r="B38" s="3" t="n">
        <v>22</v>
      </c>
      <c r="C38" s="7" t="n">
        <v>7.499999999999999</v>
      </c>
      <c r="D38" s="3" t="n">
        <v>2.2</v>
      </c>
      <c r="E38" s="2" t="inlineStr">
        <is>
          <t>60,000+</t>
        </is>
      </c>
      <c r="F38" s="12" t="inlineStr">
        <is>
          <t>TIGHT</t>
        </is>
      </c>
    </row>
    <row r="39" ht="30" customHeight="1">
      <c r="A39" s="2" t="inlineStr">
        <is>
          <t>Honey Nut Cheerios 27.2oz (2-Pack)</t>
        </is>
      </c>
      <c r="B39" s="3" t="n">
        <v>14</v>
      </c>
      <c r="C39" s="7" t="n">
        <v>6.479999999999999</v>
      </c>
      <c r="D39" s="3" t="n">
        <v>1.4</v>
      </c>
      <c r="E39" s="2" t="inlineStr">
        <is>
          <t>30,000+</t>
        </is>
      </c>
      <c r="F39" s="12" t="inlineStr">
        <is>
          <t>TIGHT</t>
        </is>
      </c>
    </row>
    <row r="40" ht="30" customHeight="1">
      <c r="A40" s="2" t="inlineStr">
        <is>
          <t>Clorox Disinfecting Wipes 225ct (3x75)</t>
        </is>
      </c>
      <c r="B40" s="3" t="n">
        <v>15</v>
      </c>
      <c r="C40" s="7" t="n">
        <v>6.25</v>
      </c>
      <c r="D40" s="3" t="n">
        <v>1.5</v>
      </c>
      <c r="E40" s="2" t="inlineStr">
        <is>
          <t>100,000+</t>
        </is>
      </c>
      <c r="F40" s="12" t="inlineStr">
        <is>
          <t>TIGHT</t>
        </is>
      </c>
    </row>
    <row r="41" ht="30" customHeight="1">
      <c r="A41" s="2" t="inlineStr">
        <is>
          <t>Tide PODS 42ct (Spring Meadow)</t>
        </is>
      </c>
      <c r="B41" s="3" t="n">
        <v>13</v>
      </c>
      <c r="C41" s="7" t="n">
        <v>5.660000000000001</v>
      </c>
      <c r="D41" s="3" t="n">
        <v>1.3</v>
      </c>
      <c r="E41" s="2" t="inlineStr">
        <is>
          <t>50,000+</t>
        </is>
      </c>
      <c r="F41" s="12" t="inlineStr">
        <is>
          <t>TIGHT</t>
        </is>
      </c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5" customWidth="1" min="1" max="1"/>
    <col width="48" customWidth="1" min="2" max="2"/>
    <col width="12" customWidth="1" min="3" max="3"/>
    <col width="16" customWidth="1" min="4" max="4"/>
    <col width="12" customWidth="1" min="5" max="5"/>
    <col width="16" customWidth="1" min="6" max="6"/>
    <col width="60" customWidth="1" min="7" max="7"/>
  </cols>
  <sheetData>
    <row r="1">
      <c r="A1" s="8" t="inlineStr">
        <is>
          <t>TOP 10 PRODUCTS — BEST PROFIT POTENTIAL</t>
        </is>
      </c>
    </row>
    <row r="2">
      <c r="A2" s="9" t="inlineStr">
        <is>
          <t>These have the highest max cost (easiest to source profitably) AND massive monthly sales volume.</t>
        </is>
      </c>
    </row>
    <row r="4" ht="35" customHeight="1">
      <c r="A4" s="1" t="inlineStr">
        <is>
          <t>#</t>
        </is>
      </c>
      <c r="B4" s="1" t="inlineStr">
        <is>
          <t>PRODUCT</t>
        </is>
      </c>
      <c r="C4" s="1" t="inlineStr">
        <is>
          <t>Amazon
Price</t>
        </is>
      </c>
      <c r="D4" s="1" t="inlineStr">
        <is>
          <t>MAX COST
You Can Pay</t>
        </is>
      </c>
      <c r="E4" s="1" t="inlineStr">
        <is>
          <t>Your Min
Profit</t>
        </is>
      </c>
      <c r="F4" s="1" t="inlineStr">
        <is>
          <t>Monthly
Units</t>
        </is>
      </c>
      <c r="G4" s="1" t="inlineStr">
        <is>
          <t>Why It's #1</t>
        </is>
      </c>
    </row>
    <row r="5" ht="50" customHeight="1">
      <c r="A5" s="2" t="n">
        <v>1</v>
      </c>
      <c r="B5" s="2" t="inlineStr">
        <is>
          <t>Bounty Quick-Size Paper Towels 16 Family Rolls</t>
        </is>
      </c>
      <c r="C5" s="3" t="n">
        <v>52</v>
      </c>
      <c r="D5" s="5" t="n">
        <v>26</v>
      </c>
      <c r="E5" s="3" t="n">
        <v>5.2</v>
      </c>
      <c r="F5" s="2" t="inlineStr">
        <is>
          <t>100,000+</t>
        </is>
      </c>
      <c r="G5" s="2" t="inlineStr">
        <is>
          <t>100K+ bought/mo. One of top 5 volume items on ALL of Amazon.</t>
        </is>
      </c>
    </row>
    <row r="6" ht="50" customHeight="1">
      <c r="A6" s="2" t="n">
        <v>2</v>
      </c>
      <c r="B6" s="2" t="inlineStr">
        <is>
          <t>Charmin Ultra Soft 24 Mega Rolls</t>
        </is>
      </c>
      <c r="C6" s="3" t="n">
        <v>53</v>
      </c>
      <c r="D6" s="5" t="n">
        <v>26.75</v>
      </c>
      <c r="E6" s="3" t="n">
        <v>5.300000000000001</v>
      </c>
      <c r="F6" s="2" t="inlineStr">
        <is>
          <t>70,000-90,000+</t>
        </is>
      </c>
      <c r="G6" s="2" t="inlineStr">
        <is>
          <t>70K+ bought/mo. Essential auto-reorder item.</t>
        </is>
      </c>
    </row>
    <row r="7" ht="50" customHeight="1">
      <c r="A7" s="2" t="n">
        <v>3</v>
      </c>
      <c r="B7" s="2" t="inlineStr">
        <is>
          <t>Starbucks Pike Place K-Cup Pods 96ct</t>
        </is>
      </c>
      <c r="C7" s="3" t="n">
        <v>60</v>
      </c>
      <c r="D7" s="5" t="n">
        <v>39</v>
      </c>
      <c r="E7" s="3" t="n">
        <v>6</v>
      </c>
      <c r="F7" s="2" t="inlineStr">
        <is>
          <t>20,000-30,000+</t>
        </is>
      </c>
      <c r="G7" s="2" t="inlineStr">
        <is>
          <t>#1 K-Cup on Amazon. Office + household demand. Subscribe &amp; Save staple.</t>
        </is>
      </c>
    </row>
    <row r="8" ht="50" customHeight="1">
      <c r="A8" s="2" t="n">
        <v>4</v>
      </c>
      <c r="B8" s="2" t="inlineStr">
        <is>
          <t>Pampers Swaddlers Size 4, 150ct Box</t>
        </is>
      </c>
      <c r="C8" s="3" t="n">
        <v>57</v>
      </c>
      <c r="D8" s="5" t="n">
        <v>32.75</v>
      </c>
      <c r="E8" s="3" t="n">
        <v>5.7</v>
      </c>
      <c r="F8" s="2" t="inlineStr">
        <is>
          <t>20,000-30,000+</t>
        </is>
      </c>
      <c r="G8" s="2" t="inlineStr">
        <is>
          <t>#1 diaper. Parents auto-reorder. P&amp;G overruns = closeout supply.</t>
        </is>
      </c>
    </row>
    <row r="9" ht="50" customHeight="1">
      <c r="A9" s="2" t="n">
        <v>5</v>
      </c>
      <c r="B9" s="2" t="inlineStr">
        <is>
          <t>Green Mountain Breakfast Blend K-Cups 96ct</t>
        </is>
      </c>
      <c r="C9" s="3" t="n">
        <v>50</v>
      </c>
      <c r="D9" s="5" t="n">
        <v>31.5</v>
      </c>
      <c r="E9" s="3" t="n">
        <v>5</v>
      </c>
      <c r="F9" s="2" t="inlineStr">
        <is>
          <t>15,000-25,000+</t>
        </is>
      </c>
      <c r="G9" s="2" t="inlineStr">
        <is>
          <t>Top 3 K-Cup brand. Light roast = biggest coffee segment.</t>
        </is>
      </c>
    </row>
    <row r="10" ht="50" customHeight="1">
      <c r="A10" s="2" t="n">
        <v>6</v>
      </c>
      <c r="B10" s="2" t="inlineStr">
        <is>
          <t>Pampers Swaddlers Size 5, 132ct Box</t>
        </is>
      </c>
      <c r="C10" s="3" t="n">
        <v>55</v>
      </c>
      <c r="D10" s="5" t="n">
        <v>31.25</v>
      </c>
      <c r="E10" s="3" t="n">
        <v>5.5</v>
      </c>
      <c r="F10" s="2" t="inlineStr">
        <is>
          <t>15,000-25,000+</t>
        </is>
      </c>
      <c r="G10" s="2" t="inlineStr">
        <is>
          <t>Size 5 = slightly less volume than Size 4 but still huge seller.</t>
        </is>
      </c>
    </row>
    <row r="11" ht="50" customHeight="1">
      <c r="A11" s="2" t="n">
        <v>7</v>
      </c>
      <c r="B11" s="2" t="inlineStr">
        <is>
          <t>Pampers Swaddlers Size 3, 168ct Box</t>
        </is>
      </c>
      <c r="C11" s="3" t="n">
        <v>55</v>
      </c>
      <c r="D11" s="5" t="n">
        <v>31.25</v>
      </c>
      <c r="E11" s="3" t="n">
        <v>5.5</v>
      </c>
      <c r="F11" s="2" t="inlineStr">
        <is>
          <t>15,000-25,000+</t>
        </is>
      </c>
      <c r="G11" s="2" t="inlineStr">
        <is>
          <t>Size 3 = mid-range size, very popular. Babies in this size 3-6 months.</t>
        </is>
      </c>
    </row>
    <row r="12" ht="50" customHeight="1">
      <c r="A12" s="2" t="n">
        <v>8</v>
      </c>
      <c r="B12" s="2" t="inlineStr">
        <is>
          <t>Cottonelle Ultra CleanCare 24 Mega Rolls</t>
        </is>
      </c>
      <c r="C12" s="3" t="n">
        <v>50</v>
      </c>
      <c r="D12" s="5" t="n">
        <v>25</v>
      </c>
      <c r="E12" s="3" t="n">
        <v>5</v>
      </c>
      <c r="F12" s="2" t="inlineStr">
        <is>
          <t>20,000-30,000+</t>
        </is>
      </c>
      <c r="G12" s="2" t="inlineStr">
        <is>
          <t>#3 toilet paper brand. Consistent seller. Less competition than Charmin.</t>
        </is>
      </c>
    </row>
    <row r="13" ht="50" customHeight="1">
      <c r="A13" s="2" t="n">
        <v>9</v>
      </c>
      <c r="B13" s="2" t="inlineStr">
        <is>
          <t>Tide PODS 112ct Tub</t>
        </is>
      </c>
      <c r="C13" s="3" t="n">
        <v>28</v>
      </c>
      <c r="D13" s="5" t="n">
        <v>14</v>
      </c>
      <c r="E13" s="3" t="n">
        <v>2.8</v>
      </c>
      <c r="F13" s="2" t="inlineStr">
        <is>
          <t>40,000-50,000+</t>
        </is>
      </c>
      <c r="G13" s="2" t="inlineStr">
        <is>
          <t>KING of laundry. 50K+/mo. Lightweight pods = great FBA. Supplier carries Tide.</t>
        </is>
      </c>
    </row>
    <row r="14" ht="50" customHeight="1">
      <c r="A14" s="2" t="n">
        <v>10</v>
      </c>
      <c r="B14" s="2" t="inlineStr">
        <is>
          <t>Cascade Platinum ActionPacs 92ct</t>
        </is>
      </c>
      <c r="C14" s="3" t="n">
        <v>28</v>
      </c>
      <c r="D14" s="5" t="n">
        <v>14</v>
      </c>
      <c r="E14" s="3" t="n">
        <v>2.8</v>
      </c>
      <c r="F14" s="2" t="inlineStr">
        <is>
          <t>50,000+</t>
        </is>
      </c>
      <c r="G14" s="2" t="inlineStr">
        <is>
          <t>#1 dishwasher pod. 50K+/mo. Lightweight = great FBA economics.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60" customWidth="1" min="1" max="1"/>
    <col width="50" customWidth="1" min="2" max="2"/>
  </cols>
  <sheetData>
    <row r="1">
      <c r="A1" s="13" t="inlineStr">
        <is>
          <t>HOW AMAZON FEES WORK — SO YOU UNDERSTAND THE NUMBERS</t>
        </is>
      </c>
      <c r="B1" s="13" t="inlineStr"/>
    </row>
    <row r="2">
      <c r="A2" s="14" t="inlineStr"/>
      <c r="B2" s="14" t="inlineStr"/>
    </row>
    <row r="3">
      <c r="A3" s="15" t="inlineStr">
        <is>
          <t>STEP 1: You sell a product on Amazon for $60</t>
        </is>
      </c>
      <c r="B3" s="14" t="inlineStr"/>
    </row>
    <row r="4">
      <c r="A4" s="14" t="inlineStr"/>
      <c r="B4" s="14" t="inlineStr"/>
    </row>
    <row r="5">
      <c r="A5" s="15" t="inlineStr">
        <is>
          <t>STEP 2: Amazon takes REFERRAL FEE</t>
        </is>
      </c>
      <c r="B5" s="14" t="inlineStr"/>
    </row>
    <row r="6">
      <c r="A6" s="14" t="inlineStr">
        <is>
          <t xml:space="preserve">  - 15% of sale price for most categories</t>
        </is>
      </c>
      <c r="B6" s="14">
        <f> $9.00 on a $60 item</f>
        <v/>
      </c>
    </row>
    <row r="7">
      <c r="A7" s="14" t="inlineStr">
        <is>
          <t xml:space="preserve">  - 8% for Grocery items $15 and under</t>
        </is>
      </c>
      <c r="B7" s="14">
        <f> $1.04 on a $13 item</f>
        <v/>
      </c>
    </row>
    <row r="8">
      <c r="A8" s="14" t="inlineStr"/>
      <c r="B8" s="14" t="inlineStr"/>
    </row>
    <row r="9">
      <c r="A9" s="15" t="inlineStr">
        <is>
          <t>STEP 3: Amazon takes FBA FULFILLMENT FEE (if you use FBA)</t>
        </is>
      </c>
      <c r="B9" s="14" t="inlineStr"/>
    </row>
    <row r="10">
      <c r="A10" s="14" t="inlineStr">
        <is>
          <t xml:space="preserve">  - Based on product weight and size</t>
        </is>
      </c>
      <c r="B10" s="14" t="inlineStr"/>
    </row>
    <row r="11">
      <c r="A11" s="14" t="inlineStr">
        <is>
          <t xml:space="preserve">  - Small/light items (1-2 lbs): $3-5</t>
        </is>
      </c>
      <c r="B11" s="14" t="inlineStr">
        <is>
          <t>K-cups, soap bars, wipes</t>
        </is>
      </c>
    </row>
    <row r="12">
      <c r="A12" s="14" t="inlineStr">
        <is>
          <t xml:space="preserve">  - Medium items (3-5 lbs): $5-7</t>
        </is>
      </c>
      <c r="B12" s="14" t="inlineStr">
        <is>
          <t>Laundry pods, cleaning pods</t>
        </is>
      </c>
    </row>
    <row r="13">
      <c r="A13" s="14" t="inlineStr">
        <is>
          <t xml:space="preserve">  - Heavy items (10+ lbs): $9-14</t>
        </is>
      </c>
      <c r="B13" s="14" t="inlineStr">
        <is>
          <t>Diapers, paper towels, cat litter</t>
        </is>
      </c>
    </row>
    <row r="14">
      <c r="A14" s="14" t="inlineStr">
        <is>
          <t xml:space="preserve">  - Very heavy (30+ lbs): $12-15+</t>
        </is>
      </c>
      <c r="B14" s="14" t="inlineStr">
        <is>
          <t>Dog food bags, Fabuloso gallons</t>
        </is>
      </c>
    </row>
    <row r="15">
      <c r="A15" s="14" t="inlineStr"/>
      <c r="B15" s="14" t="inlineStr"/>
    </row>
    <row r="16">
      <c r="A16" s="15" t="inlineStr">
        <is>
          <t>STEP 4: What you keep = Sell Price - Referral Fee - FBA Fee</t>
        </is>
      </c>
      <c r="B16" s="14" t="inlineStr"/>
    </row>
    <row r="17">
      <c r="A17" s="14" t="inlineStr">
        <is>
          <t xml:space="preserve">  Example: $60 K-Cups - $9 referral - $6 FBA = $45 you keep</t>
        </is>
      </c>
      <c r="B17" s="14" t="inlineStr"/>
    </row>
    <row r="18">
      <c r="A18" s="14" t="inlineStr">
        <is>
          <t xml:space="preserve">  If you bought it for $35, your profit = $10 (16.7% margin)</t>
        </is>
      </c>
      <c r="B18" s="14" t="inlineStr"/>
    </row>
    <row r="19">
      <c r="A19" s="14" t="inlineStr"/>
      <c r="B19" s="14" t="inlineStr"/>
    </row>
    <row r="20">
      <c r="A20" s="15" t="inlineStr">
        <is>
          <t>THE FORMULA ON THIS SHEET:</t>
        </is>
      </c>
      <c r="B20" s="14" t="inlineStr"/>
    </row>
    <row r="21">
      <c r="A21" s="14" t="inlineStr">
        <is>
          <t>Max Cost = Amazon Price × (1 - 0.15) - FBA Fee - (10% × Amazon Price)</t>
        </is>
      </c>
      <c r="B21" s="14" t="inlineStr"/>
    </row>
    <row r="22">
      <c r="A22" s="14" t="inlineStr">
        <is>
          <t>This gives you the MAXIMUM you can pay and still make 10% profit</t>
        </is>
      </c>
      <c r="B22" s="14" t="inlineStr"/>
    </row>
    <row r="23">
      <c r="A23" s="14" t="inlineStr"/>
      <c r="B23" s="14" t="inlineStr"/>
    </row>
    <row r="24">
      <c r="A24" s="15" t="inlineStr">
        <is>
          <t>EXAMPLE — Starbucks K-Cups 96ct:</t>
        </is>
      </c>
      <c r="B24" s="14" t="inlineStr"/>
    </row>
    <row r="25">
      <c r="A25" s="14" t="inlineStr">
        <is>
          <t xml:space="preserve">  Amazon Price: $60.00</t>
        </is>
      </c>
      <c r="B25" s="14" t="inlineStr"/>
    </row>
    <row r="26">
      <c r="A26" s="14" t="inlineStr">
        <is>
          <t xml:space="preserve">  Referral Fee (15%): -$9.00</t>
        </is>
      </c>
      <c r="B26" s="14" t="inlineStr"/>
    </row>
    <row r="27">
      <c r="A27" s="14" t="inlineStr">
        <is>
          <t xml:space="preserve">  FBA Fee (est.): -$6.00</t>
        </is>
      </c>
      <c r="B27" s="14" t="inlineStr"/>
    </row>
    <row r="28">
      <c r="A28" s="14" t="inlineStr">
        <is>
          <t xml:space="preserve">  = You keep: $45.00</t>
        </is>
      </c>
      <c r="B28" s="14" t="inlineStr"/>
    </row>
    <row r="29">
      <c r="A29" s="14" t="inlineStr">
        <is>
          <t xml:space="preserve">  10% minimum profit: $6.00</t>
        </is>
      </c>
      <c r="B29" s="14" t="inlineStr"/>
    </row>
    <row r="30">
      <c r="A30" s="14" t="inlineStr">
        <is>
          <t xml:space="preserve">  MAX you can pay: $45.00 - $6.00 = $39.00</t>
        </is>
      </c>
      <c r="B30" s="14" t="inlineStr"/>
    </row>
    <row r="31">
      <c r="A31" s="14" t="inlineStr">
        <is>
          <t xml:space="preserve">  If supplier quotes $33 → profit = $12.00 (20%)</t>
        </is>
      </c>
      <c r="B31" s="14" t="inlineStr"/>
    </row>
    <row r="32">
      <c r="A32" s="14" t="inlineStr">
        <is>
          <t xml:space="preserve">  If supplier quotes $38 → profit = $7.00 (11.7%)</t>
        </is>
      </c>
      <c r="B32" s="14" t="inlineStr"/>
    </row>
    <row r="33">
      <c r="A33" s="14" t="inlineStr">
        <is>
          <t xml:space="preserve">  If supplier quotes $42 → DON'T BUY (only $3 profit = 5%)</t>
        </is>
      </c>
      <c r="B33" s="14" t="inlineStr"/>
    </row>
    <row r="34">
      <c r="A34" s="14" t="inlineStr"/>
      <c r="B34" s="14" t="inlineStr"/>
    </row>
    <row r="35">
      <c r="A35" s="15" t="inlineStr">
        <is>
          <t>PRO TIPS:</t>
        </is>
      </c>
      <c r="B35" s="14" t="inlineStr"/>
    </row>
    <row r="36">
      <c r="A36" s="14" t="inlineStr">
        <is>
          <t>1. PODS and PACS (Tide, Gain, Cascade) are the BEST FBA products</t>
        </is>
      </c>
      <c r="B36" s="14" t="inlineStr">
        <is>
          <t>Lightweight = low FBA fees. High ticket.</t>
        </is>
      </c>
    </row>
    <row r="37">
      <c r="A37" s="14" t="inlineStr">
        <is>
          <t>2. K-CUPS are the single best category for your supplier</t>
        </is>
      </c>
      <c r="B37" s="14" t="inlineStr">
        <is>
          <t>Light, high ticket ($38-60), massive volume, easy to ship.</t>
        </is>
      </c>
    </row>
    <row r="38">
      <c r="A38" s="14" t="inlineStr">
        <is>
          <t>3. DIAPERS are great IF you can hit the cost target</t>
        </is>
      </c>
      <c r="B38" s="14" t="inlineStr">
        <is>
          <t>Heavy = high FBA fees, but $50+ price makes up for it.</t>
        </is>
      </c>
    </row>
    <row r="39">
      <c r="A39" s="14" t="inlineStr">
        <is>
          <t>4. Avoid heavy liquids for FBA</t>
        </is>
      </c>
      <c r="B39" s="14" t="inlineStr">
        <is>
          <t>Fabuloso gallons, big Tide liquid = $14 FBA fee eats your margin.</t>
        </is>
      </c>
    </row>
    <row r="40">
      <c r="A40" s="14" t="inlineStr">
        <is>
          <t>5. Consider FBM (you ship yourself) for heavy items</t>
        </is>
      </c>
      <c r="B40" s="14" t="inlineStr">
        <is>
          <t>Cat litter, dog food, paper towels — skip FBA, ship from your warehouse.</t>
        </is>
      </c>
    </row>
    <row r="41">
      <c r="A41" s="14" t="inlineStr">
        <is>
          <t>6. Subscribe &amp; Save items sell 3-5x more</t>
        </is>
      </c>
      <c r="B41" s="14" t="inlineStr">
        <is>
          <t>K-cups, diapers, pods, wipes — all Subscribe &amp; Save eligible.</t>
        </is>
      </c>
    </row>
    <row r="42">
      <c r="A42" s="14" t="inlineStr">
        <is>
          <t>7. Always verify you're UNGATED before buying</t>
        </is>
      </c>
      <c r="B42" s="14" t="inlineStr">
        <is>
          <t>Some brands/categories need approval + invoices to sell on Amazon.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2026-08-24T00:44:41Z</dcterms:created>
  <dcterms:modified xsi:type="dcterms:W3CDTF">2026-08-24T00:44:41Z</dcterms:modified>
</cp:coreProperties>
</file>